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伙食\"/>
    </mc:Choice>
  </mc:AlternateContent>
  <xr:revisionPtr revIDLastSave="0" documentId="13_ncr:1_{CA48C72A-0CE5-4FDC-9B4B-4131F8952344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115.1" sheetId="26" r:id="rId1"/>
    <sheet name="115.1紡織部" sheetId="27" r:id="rId2"/>
    <sheet name="115.2" sheetId="28" r:id="rId3"/>
    <sheet name="115.2紡織部 " sheetId="29" r:id="rId4"/>
    <sheet name="115.3" sheetId="30" r:id="rId5"/>
    <sheet name="115.3紡織部 " sheetId="31" r:id="rId6"/>
    <sheet name="115.4" sheetId="32" r:id="rId7"/>
    <sheet name="115.4紡織部 " sheetId="33" r:id="rId8"/>
  </sheets>
  <definedNames>
    <definedName name="_xlnm.Print_Area" localSheetId="0">'115.1'!$A$1:$O$38</definedName>
    <definedName name="_xlnm.Print_Area" localSheetId="1">'115.1紡織部'!$B$1:$O$30</definedName>
    <definedName name="_xlnm.Print_Area" localSheetId="2">'115.2'!$A$1:$O$38</definedName>
    <definedName name="_xlnm.Print_Area" localSheetId="3">'115.2紡織部 '!$B$1:$O$30</definedName>
    <definedName name="_xlnm.Print_Area" localSheetId="4">'115.3'!$A$1:$O$38</definedName>
    <definedName name="_xlnm.Print_Area" localSheetId="5">'115.3紡織部 '!$B$1:$O$30</definedName>
    <definedName name="_xlnm.Print_Area" localSheetId="6">'115.4'!$A$1:$O$38</definedName>
    <definedName name="_xlnm.Print_Area" localSheetId="7">'115.4紡織部 '!$B$1:$O$32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3" l="1"/>
  <c r="F25" i="33" s="1"/>
  <c r="E24" i="33"/>
  <c r="F24" i="33" s="1"/>
  <c r="M26" i="33"/>
  <c r="M25" i="33"/>
  <c r="M24" i="33"/>
  <c r="E28" i="33"/>
  <c r="F28" i="33" s="1"/>
  <c r="H28" i="33"/>
  <c r="O16" i="32"/>
  <c r="O17" i="32"/>
  <c r="O18" i="32"/>
  <c r="L20" i="32"/>
  <c r="M20" i="32" s="1"/>
  <c r="O20" i="32"/>
  <c r="L21" i="32"/>
  <c r="M21" i="32" s="1"/>
  <c r="O21" i="32"/>
  <c r="O22" i="32"/>
  <c r="M24" i="32"/>
  <c r="M25" i="32"/>
  <c r="M26" i="32"/>
  <c r="M27" i="32"/>
  <c r="M28" i="32"/>
  <c r="M29" i="32"/>
  <c r="M30" i="32"/>
  <c r="M31" i="32"/>
  <c r="M32" i="32"/>
  <c r="M33" i="32"/>
  <c r="M34" i="32"/>
  <c r="M35" i="32"/>
  <c r="M36" i="32"/>
  <c r="M37" i="32"/>
  <c r="L4" i="32"/>
  <c r="M4" i="32" s="1"/>
  <c r="O4" i="32"/>
  <c r="L5" i="32"/>
  <c r="M5" i="32" s="1"/>
  <c r="O5" i="32"/>
  <c r="L6" i="32"/>
  <c r="M6" i="32" s="1"/>
  <c r="O6" i="32"/>
  <c r="L7" i="32"/>
  <c r="M7" i="32" s="1"/>
  <c r="O7" i="32"/>
  <c r="L8" i="32"/>
  <c r="M8" i="32" s="1"/>
  <c r="O8" i="32"/>
  <c r="L9" i="32"/>
  <c r="M9" i="32" s="1"/>
  <c r="O9" i="32"/>
  <c r="L10" i="32"/>
  <c r="M10" i="32" s="1"/>
  <c r="O10" i="32"/>
  <c r="L11" i="32"/>
  <c r="M11" i="32" s="1"/>
  <c r="O11" i="32"/>
  <c r="L12" i="32"/>
  <c r="M12" i="32" s="1"/>
  <c r="O12" i="32"/>
  <c r="H27" i="33" l="1"/>
  <c r="E27" i="33"/>
  <c r="F27" i="33" s="1"/>
  <c r="H26" i="33"/>
  <c r="E26" i="33"/>
  <c r="F26" i="33" s="1"/>
  <c r="M23" i="33"/>
  <c r="H23" i="33"/>
  <c r="E23" i="33"/>
  <c r="F23" i="33" s="1"/>
  <c r="M22" i="33"/>
  <c r="H22" i="33"/>
  <c r="E22" i="33"/>
  <c r="F22" i="33" s="1"/>
  <c r="H21" i="33"/>
  <c r="E21" i="33"/>
  <c r="F21" i="33" s="1"/>
  <c r="M20" i="33"/>
  <c r="H20" i="33"/>
  <c r="E20" i="33"/>
  <c r="F20" i="33" s="1"/>
  <c r="H19" i="33"/>
  <c r="E19" i="33"/>
  <c r="F19" i="33" s="1"/>
  <c r="M18" i="33"/>
  <c r="H18" i="33"/>
  <c r="E18" i="33"/>
  <c r="F18" i="33" s="1"/>
  <c r="M17" i="33"/>
  <c r="H17" i="33"/>
  <c r="E17" i="33"/>
  <c r="F17" i="33" s="1"/>
  <c r="M16" i="33"/>
  <c r="H16" i="33"/>
  <c r="E16" i="33"/>
  <c r="F16" i="33" s="1"/>
  <c r="M15" i="33"/>
  <c r="H15" i="33"/>
  <c r="E15" i="33"/>
  <c r="F15" i="33" s="1"/>
  <c r="M14" i="33"/>
  <c r="H14" i="33"/>
  <c r="E14" i="33"/>
  <c r="F14" i="33" s="1"/>
  <c r="M13" i="33"/>
  <c r="H13" i="33"/>
  <c r="E13" i="33"/>
  <c r="F13" i="33" s="1"/>
  <c r="M12" i="33"/>
  <c r="H12" i="33"/>
  <c r="E12" i="33"/>
  <c r="F12" i="33" s="1"/>
  <c r="M11" i="33"/>
  <c r="H11" i="33"/>
  <c r="E11" i="33"/>
  <c r="F11" i="33" s="1"/>
  <c r="M10" i="33"/>
  <c r="H10" i="33"/>
  <c r="E10" i="33"/>
  <c r="F10" i="33" s="1"/>
  <c r="H9" i="33"/>
  <c r="E9" i="33"/>
  <c r="F9" i="33" s="1"/>
  <c r="M8" i="33"/>
  <c r="H8" i="33"/>
  <c r="E8" i="33"/>
  <c r="F8" i="33" s="1"/>
  <c r="H7" i="33"/>
  <c r="E7" i="33"/>
  <c r="F7" i="33" s="1"/>
  <c r="O6" i="33"/>
  <c r="H6" i="33"/>
  <c r="E6" i="33"/>
  <c r="F6" i="33" s="1"/>
  <c r="O5" i="33"/>
  <c r="L5" i="33"/>
  <c r="M5" i="33" s="1"/>
  <c r="H5" i="33"/>
  <c r="E5" i="33"/>
  <c r="F5" i="33" s="1"/>
  <c r="O4" i="33"/>
  <c r="L4" i="33"/>
  <c r="M4" i="33" s="1"/>
  <c r="H4" i="33"/>
  <c r="E4" i="33"/>
  <c r="F4" i="33" s="1"/>
  <c r="E11" i="32"/>
  <c r="F11" i="32" s="1"/>
  <c r="H36" i="32"/>
  <c r="H35" i="32"/>
  <c r="H34" i="32"/>
  <c r="E34" i="32"/>
  <c r="F34" i="32" s="1"/>
  <c r="H33" i="32"/>
  <c r="E33" i="32"/>
  <c r="F33" i="32" s="1"/>
  <c r="H32" i="32"/>
  <c r="E32" i="32"/>
  <c r="F32" i="32" s="1"/>
  <c r="H31" i="32"/>
  <c r="E31" i="32"/>
  <c r="F31" i="32" s="1"/>
  <c r="H30" i="32"/>
  <c r="E30" i="32"/>
  <c r="F30" i="32" s="1"/>
  <c r="H29" i="32"/>
  <c r="E29" i="32"/>
  <c r="F29" i="32" s="1"/>
  <c r="H28" i="32"/>
  <c r="E28" i="32"/>
  <c r="H27" i="32"/>
  <c r="H26" i="32"/>
  <c r="E26" i="32"/>
  <c r="F26" i="32" s="1"/>
  <c r="H25" i="32"/>
  <c r="E25" i="32"/>
  <c r="F25" i="32" s="1"/>
  <c r="S27" i="32"/>
  <c r="H24" i="32"/>
  <c r="E24" i="32"/>
  <c r="F24" i="32" s="1"/>
  <c r="H23" i="32"/>
  <c r="E23" i="32"/>
  <c r="F23" i="32" s="1"/>
  <c r="H22" i="32"/>
  <c r="E22" i="32"/>
  <c r="F22" i="32" s="1"/>
  <c r="H21" i="32"/>
  <c r="E21" i="32"/>
  <c r="F21" i="32" s="1"/>
  <c r="H20" i="32"/>
  <c r="H19" i="32"/>
  <c r="E19" i="32"/>
  <c r="F19" i="32" s="1"/>
  <c r="H18" i="32"/>
  <c r="E18" i="32"/>
  <c r="F18" i="32" s="1"/>
  <c r="H17" i="32"/>
  <c r="E17" i="32"/>
  <c r="F17" i="32" s="1"/>
  <c r="O15" i="32"/>
  <c r="H16" i="32"/>
  <c r="E16" i="32"/>
  <c r="F16" i="32" s="1"/>
  <c r="O14" i="32"/>
  <c r="H15" i="32"/>
  <c r="E15" i="32"/>
  <c r="F15" i="32" s="1"/>
  <c r="O13" i="32"/>
  <c r="L13" i="32"/>
  <c r="M13" i="32" s="1"/>
  <c r="H14" i="32"/>
  <c r="E14" i="32"/>
  <c r="F14" i="32" s="1"/>
  <c r="H13" i="32"/>
  <c r="H12" i="32"/>
  <c r="H11" i="32"/>
  <c r="H10" i="32"/>
  <c r="H9" i="32"/>
  <c r="E9" i="32"/>
  <c r="F9" i="32" s="1"/>
  <c r="H8" i="32"/>
  <c r="E8" i="32"/>
  <c r="F8" i="32" s="1"/>
  <c r="S23" i="32"/>
  <c r="H7" i="32"/>
  <c r="E7" i="32"/>
  <c r="F7" i="32" s="1"/>
  <c r="H6" i="32"/>
  <c r="E6" i="32"/>
  <c r="F6" i="32" s="1"/>
  <c r="H5" i="32"/>
  <c r="E5" i="32"/>
  <c r="F5" i="32" s="1"/>
  <c r="H4" i="32"/>
  <c r="F4" i="32"/>
  <c r="E4" i="32"/>
  <c r="F25" i="31"/>
  <c r="E34" i="30"/>
  <c r="F34" i="30" s="1"/>
  <c r="E25" i="31"/>
  <c r="H25" i="31"/>
  <c r="M26" i="31"/>
  <c r="M25" i="31"/>
  <c r="M24" i="31"/>
  <c r="H24" i="31"/>
  <c r="E24" i="31"/>
  <c r="F24" i="31" s="1"/>
  <c r="M23" i="31"/>
  <c r="H23" i="31"/>
  <c r="E23" i="31"/>
  <c r="F23" i="31" s="1"/>
  <c r="M22" i="31"/>
  <c r="H22" i="31"/>
  <c r="E22" i="31"/>
  <c r="F22" i="31" s="1"/>
  <c r="H21" i="31"/>
  <c r="F21" i="31"/>
  <c r="E21" i="31"/>
  <c r="M20" i="31"/>
  <c r="H20" i="31"/>
  <c r="E20" i="31"/>
  <c r="F20" i="31" s="1"/>
  <c r="H19" i="31"/>
  <c r="E19" i="31"/>
  <c r="F19" i="31" s="1"/>
  <c r="M18" i="31"/>
  <c r="H18" i="31"/>
  <c r="F18" i="31"/>
  <c r="E18" i="31"/>
  <c r="M17" i="31"/>
  <c r="H17" i="31"/>
  <c r="E17" i="31"/>
  <c r="F17" i="31" s="1"/>
  <c r="M16" i="31"/>
  <c r="H16" i="31"/>
  <c r="E16" i="31"/>
  <c r="F16" i="31" s="1"/>
  <c r="M15" i="31"/>
  <c r="H15" i="31"/>
  <c r="E15" i="31"/>
  <c r="F15" i="31" s="1"/>
  <c r="M14" i="31"/>
  <c r="H14" i="31"/>
  <c r="F14" i="31"/>
  <c r="E14" i="31"/>
  <c r="M13" i="31"/>
  <c r="H13" i="31"/>
  <c r="E13" i="31"/>
  <c r="F13" i="31" s="1"/>
  <c r="M12" i="31"/>
  <c r="H12" i="31"/>
  <c r="E12" i="31"/>
  <c r="F12" i="31" s="1"/>
  <c r="M11" i="31"/>
  <c r="H11" i="31"/>
  <c r="E11" i="31"/>
  <c r="F11" i="31" s="1"/>
  <c r="M10" i="31"/>
  <c r="H10" i="31"/>
  <c r="E10" i="31"/>
  <c r="F10" i="31" s="1"/>
  <c r="H9" i="31"/>
  <c r="E9" i="31"/>
  <c r="F9" i="31" s="1"/>
  <c r="M8" i="31"/>
  <c r="H8" i="31"/>
  <c r="E8" i="31"/>
  <c r="F8" i="31" s="1"/>
  <c r="H7" i="31"/>
  <c r="E7" i="31"/>
  <c r="F7" i="31" s="1"/>
  <c r="O6" i="31"/>
  <c r="H6" i="31"/>
  <c r="E6" i="31"/>
  <c r="F6" i="31" s="1"/>
  <c r="O5" i="31"/>
  <c r="M5" i="31"/>
  <c r="L5" i="31"/>
  <c r="H5" i="31"/>
  <c r="F5" i="31"/>
  <c r="E5" i="31"/>
  <c r="O4" i="31"/>
  <c r="L4" i="31"/>
  <c r="M4" i="31" s="1"/>
  <c r="H4" i="31"/>
  <c r="E4" i="31"/>
  <c r="F4" i="31" s="1"/>
  <c r="M37" i="30"/>
  <c r="M36" i="30"/>
  <c r="H36" i="30"/>
  <c r="M35" i="30"/>
  <c r="H35" i="30"/>
  <c r="M34" i="30"/>
  <c r="H34" i="30"/>
  <c r="M33" i="30"/>
  <c r="H33" i="30"/>
  <c r="F33" i="30"/>
  <c r="E33" i="30"/>
  <c r="M32" i="30"/>
  <c r="H32" i="30"/>
  <c r="E32" i="30"/>
  <c r="F32" i="30" s="1"/>
  <c r="M31" i="30"/>
  <c r="H31" i="30"/>
  <c r="E31" i="30"/>
  <c r="F31" i="30" s="1"/>
  <c r="M30" i="30"/>
  <c r="H30" i="30"/>
  <c r="E30" i="30"/>
  <c r="F30" i="30" s="1"/>
  <c r="M29" i="30"/>
  <c r="H29" i="30"/>
  <c r="F29" i="30"/>
  <c r="E29" i="30"/>
  <c r="M28" i="30"/>
  <c r="H28" i="30"/>
  <c r="E28" i="30"/>
  <c r="M27" i="30"/>
  <c r="H27" i="30"/>
  <c r="M26" i="30"/>
  <c r="H26" i="30"/>
  <c r="E26" i="30"/>
  <c r="F26" i="30" s="1"/>
  <c r="M25" i="30"/>
  <c r="H25" i="30"/>
  <c r="F25" i="30"/>
  <c r="E25" i="30"/>
  <c r="M24" i="30"/>
  <c r="H24" i="30"/>
  <c r="E24" i="30"/>
  <c r="F24" i="30" s="1"/>
  <c r="H23" i="30"/>
  <c r="E23" i="30"/>
  <c r="F23" i="30" s="1"/>
  <c r="O22" i="30"/>
  <c r="H22" i="30"/>
  <c r="E22" i="30"/>
  <c r="F22" i="30" s="1"/>
  <c r="O21" i="30"/>
  <c r="L21" i="30"/>
  <c r="M21" i="30" s="1"/>
  <c r="H21" i="30"/>
  <c r="E21" i="30"/>
  <c r="F21" i="30" s="1"/>
  <c r="O20" i="30"/>
  <c r="L20" i="30"/>
  <c r="M20" i="30" s="1"/>
  <c r="S24" i="30" s="1"/>
  <c r="H20" i="30"/>
  <c r="F20" i="30"/>
  <c r="E20" i="30"/>
  <c r="H19" i="30"/>
  <c r="E19" i="30"/>
  <c r="F19" i="30" s="1"/>
  <c r="H18" i="30"/>
  <c r="F18" i="30"/>
  <c r="E18" i="30"/>
  <c r="H17" i="30"/>
  <c r="F17" i="30"/>
  <c r="E17" i="30"/>
  <c r="O16" i="30"/>
  <c r="H16" i="30"/>
  <c r="F16" i="30"/>
  <c r="E16" i="30"/>
  <c r="O15" i="30"/>
  <c r="H15" i="30"/>
  <c r="F15" i="30"/>
  <c r="E15" i="30"/>
  <c r="O14" i="30"/>
  <c r="L14" i="30"/>
  <c r="M14" i="30" s="1"/>
  <c r="H14" i="30"/>
  <c r="F14" i="30"/>
  <c r="E14" i="30"/>
  <c r="O13" i="30"/>
  <c r="L13" i="30"/>
  <c r="M13" i="30" s="1"/>
  <c r="H13" i="30"/>
  <c r="O12" i="30"/>
  <c r="L12" i="30"/>
  <c r="M12" i="30" s="1"/>
  <c r="H12" i="30"/>
  <c r="O11" i="30"/>
  <c r="L11" i="30"/>
  <c r="M11" i="30" s="1"/>
  <c r="H11" i="30"/>
  <c r="O10" i="30"/>
  <c r="L10" i="30"/>
  <c r="M10" i="30" s="1"/>
  <c r="H10" i="30"/>
  <c r="F10" i="30"/>
  <c r="E10" i="30"/>
  <c r="O9" i="30"/>
  <c r="L9" i="30"/>
  <c r="M9" i="30" s="1"/>
  <c r="H9" i="30"/>
  <c r="F9" i="30"/>
  <c r="E9" i="30"/>
  <c r="O8" i="30"/>
  <c r="L8" i="30"/>
  <c r="M8" i="30" s="1"/>
  <c r="H8" i="30"/>
  <c r="F8" i="30"/>
  <c r="E8" i="30"/>
  <c r="O7" i="30"/>
  <c r="L7" i="30"/>
  <c r="M7" i="30" s="1"/>
  <c r="H7" i="30"/>
  <c r="E7" i="30"/>
  <c r="F7" i="30" s="1"/>
  <c r="O6" i="30"/>
  <c r="L6" i="30"/>
  <c r="M6" i="30" s="1"/>
  <c r="H6" i="30"/>
  <c r="F6" i="30"/>
  <c r="E6" i="30"/>
  <c r="O5" i="30"/>
  <c r="L5" i="30"/>
  <c r="M5" i="30" s="1"/>
  <c r="H5" i="30"/>
  <c r="F5" i="30"/>
  <c r="E5" i="30"/>
  <c r="O4" i="30"/>
  <c r="L4" i="30"/>
  <c r="M4" i="30" s="1"/>
  <c r="H4" i="30"/>
  <c r="F4" i="30"/>
  <c r="E4" i="30"/>
  <c r="F9" i="28"/>
  <c r="S17" i="28" s="1"/>
  <c r="S19" i="28"/>
  <c r="S18" i="28"/>
  <c r="M24" i="29"/>
  <c r="M25" i="29"/>
  <c r="M26" i="29"/>
  <c r="M23" i="29"/>
  <c r="S18" i="33" l="1"/>
  <c r="S15" i="33"/>
  <c r="S19" i="32"/>
  <c r="S24" i="32"/>
  <c r="S22" i="32"/>
  <c r="S14" i="33"/>
  <c r="S11" i="33"/>
  <c r="S10" i="33"/>
  <c r="S20" i="33"/>
  <c r="S17" i="32"/>
  <c r="S18" i="32"/>
  <c r="S28" i="32"/>
  <c r="S18" i="30"/>
  <c r="S19" i="30"/>
  <c r="S15" i="31"/>
  <c r="S27" i="30"/>
  <c r="S22" i="30"/>
  <c r="S17" i="30"/>
  <c r="S20" i="30" s="1"/>
  <c r="S18" i="31"/>
  <c r="S10" i="31"/>
  <c r="S20" i="31"/>
  <c r="S11" i="31"/>
  <c r="S14" i="31"/>
  <c r="S23" i="30"/>
  <c r="S28" i="30"/>
  <c r="S20" i="28"/>
  <c r="L14" i="28"/>
  <c r="M14" i="28"/>
  <c r="O14" i="28"/>
  <c r="H35" i="28"/>
  <c r="E35" i="28"/>
  <c r="F35" i="28" s="1"/>
  <c r="H24" i="29"/>
  <c r="E24" i="29"/>
  <c r="F24" i="29" s="1"/>
  <c r="H23" i="29"/>
  <c r="E23" i="29"/>
  <c r="F23" i="29" s="1"/>
  <c r="M22" i="29"/>
  <c r="H22" i="29"/>
  <c r="E22" i="29"/>
  <c r="F22" i="29" s="1"/>
  <c r="M21" i="29"/>
  <c r="H21" i="29"/>
  <c r="F21" i="29"/>
  <c r="E21" i="29"/>
  <c r="M20" i="29"/>
  <c r="H20" i="29"/>
  <c r="E20" i="29"/>
  <c r="F20" i="29" s="1"/>
  <c r="M19" i="29"/>
  <c r="H19" i="29"/>
  <c r="E19" i="29"/>
  <c r="F19" i="29" s="1"/>
  <c r="M18" i="29"/>
  <c r="H18" i="29"/>
  <c r="F18" i="29"/>
  <c r="E18" i="29"/>
  <c r="M17" i="29"/>
  <c r="H17" i="29"/>
  <c r="E17" i="29"/>
  <c r="F17" i="29" s="1"/>
  <c r="M16" i="29"/>
  <c r="H16" i="29"/>
  <c r="E16" i="29"/>
  <c r="F16" i="29" s="1"/>
  <c r="M15" i="29"/>
  <c r="H15" i="29"/>
  <c r="E15" i="29"/>
  <c r="F15" i="29" s="1"/>
  <c r="M14" i="29"/>
  <c r="H14" i="29"/>
  <c r="F14" i="29"/>
  <c r="E14" i="29"/>
  <c r="M13" i="29"/>
  <c r="H13" i="29"/>
  <c r="E13" i="29"/>
  <c r="F13" i="29" s="1"/>
  <c r="M12" i="29"/>
  <c r="H12" i="29"/>
  <c r="E12" i="29"/>
  <c r="F12" i="29" s="1"/>
  <c r="M11" i="29"/>
  <c r="H11" i="29"/>
  <c r="E11" i="29"/>
  <c r="F11" i="29" s="1"/>
  <c r="M10" i="29"/>
  <c r="H10" i="29"/>
  <c r="E10" i="29"/>
  <c r="F10" i="29" s="1"/>
  <c r="M9" i="29"/>
  <c r="H9" i="29"/>
  <c r="E9" i="29"/>
  <c r="F9" i="29" s="1"/>
  <c r="M8" i="29"/>
  <c r="H8" i="29"/>
  <c r="E8" i="29"/>
  <c r="F8" i="29" s="1"/>
  <c r="H7" i="29"/>
  <c r="E7" i="29"/>
  <c r="F7" i="29" s="1"/>
  <c r="S15" i="29" s="1"/>
  <c r="O6" i="29"/>
  <c r="H6" i="29"/>
  <c r="E6" i="29"/>
  <c r="F6" i="29" s="1"/>
  <c r="O5" i="29"/>
  <c r="L5" i="29"/>
  <c r="M5" i="29" s="1"/>
  <c r="H5" i="29"/>
  <c r="F5" i="29"/>
  <c r="E5" i="29"/>
  <c r="O4" i="29"/>
  <c r="L4" i="29"/>
  <c r="M4" i="29" s="1"/>
  <c r="H4" i="29"/>
  <c r="E4" i="29"/>
  <c r="F4" i="29" s="1"/>
  <c r="M37" i="28"/>
  <c r="M36" i="28"/>
  <c r="H36" i="28"/>
  <c r="M35" i="28"/>
  <c r="M34" i="28"/>
  <c r="H34" i="28"/>
  <c r="F34" i="28"/>
  <c r="E34" i="28"/>
  <c r="M33" i="28"/>
  <c r="H33" i="28"/>
  <c r="F33" i="28"/>
  <c r="E33" i="28"/>
  <c r="M32" i="28"/>
  <c r="H32" i="28"/>
  <c r="F32" i="28"/>
  <c r="E32" i="28"/>
  <c r="M31" i="28"/>
  <c r="H31" i="28"/>
  <c r="E31" i="28"/>
  <c r="F31" i="28" s="1"/>
  <c r="M30" i="28"/>
  <c r="H30" i="28"/>
  <c r="F30" i="28"/>
  <c r="E30" i="28"/>
  <c r="M29" i="28"/>
  <c r="H29" i="28"/>
  <c r="E29" i="28"/>
  <c r="F29" i="28" s="1"/>
  <c r="M28" i="28"/>
  <c r="H28" i="28"/>
  <c r="E28" i="28"/>
  <c r="M27" i="28"/>
  <c r="H27" i="28"/>
  <c r="M26" i="28"/>
  <c r="H26" i="28"/>
  <c r="E26" i="28"/>
  <c r="F26" i="28" s="1"/>
  <c r="M25" i="28"/>
  <c r="H25" i="28"/>
  <c r="F25" i="28"/>
  <c r="E25" i="28"/>
  <c r="M24" i="28"/>
  <c r="H24" i="28"/>
  <c r="E24" i="28"/>
  <c r="F24" i="28" s="1"/>
  <c r="H23" i="28"/>
  <c r="E23" i="28"/>
  <c r="F23" i="28" s="1"/>
  <c r="O22" i="28"/>
  <c r="H22" i="28"/>
  <c r="E22" i="28"/>
  <c r="F22" i="28" s="1"/>
  <c r="O21" i="28"/>
  <c r="L21" i="28"/>
  <c r="M21" i="28" s="1"/>
  <c r="H21" i="28"/>
  <c r="E21" i="28"/>
  <c r="F21" i="28" s="1"/>
  <c r="O20" i="28"/>
  <c r="L20" i="28"/>
  <c r="M20" i="28" s="1"/>
  <c r="S24" i="28" s="1"/>
  <c r="H20" i="28"/>
  <c r="F20" i="28"/>
  <c r="E20" i="28"/>
  <c r="H19" i="28"/>
  <c r="E19" i="28"/>
  <c r="F19" i="28" s="1"/>
  <c r="H18" i="28"/>
  <c r="F18" i="28"/>
  <c r="E18" i="28"/>
  <c r="H17" i="28"/>
  <c r="E17" i="28"/>
  <c r="F17" i="28" s="1"/>
  <c r="O16" i="28"/>
  <c r="H16" i="28"/>
  <c r="F16" i="28"/>
  <c r="E16" i="28"/>
  <c r="O15" i="28"/>
  <c r="H15" i="28"/>
  <c r="E15" i="28"/>
  <c r="F15" i="28" s="1"/>
  <c r="H14" i="28"/>
  <c r="E14" i="28"/>
  <c r="F14" i="28" s="1"/>
  <c r="O13" i="28"/>
  <c r="L13" i="28"/>
  <c r="M13" i="28" s="1"/>
  <c r="H13" i="28"/>
  <c r="O12" i="28"/>
  <c r="L12" i="28"/>
  <c r="M12" i="28" s="1"/>
  <c r="H12" i="28"/>
  <c r="O11" i="28"/>
  <c r="M11" i="28"/>
  <c r="L11" i="28"/>
  <c r="H11" i="28"/>
  <c r="O10" i="28"/>
  <c r="L10" i="28"/>
  <c r="M10" i="28" s="1"/>
  <c r="H10" i="28"/>
  <c r="E10" i="28"/>
  <c r="F10" i="28" s="1"/>
  <c r="O9" i="28"/>
  <c r="L9" i="28"/>
  <c r="M9" i="28" s="1"/>
  <c r="H9" i="28"/>
  <c r="E9" i="28"/>
  <c r="O8" i="28"/>
  <c r="M8" i="28"/>
  <c r="L8" i="28"/>
  <c r="H8" i="28"/>
  <c r="E8" i="28"/>
  <c r="F8" i="28" s="1"/>
  <c r="O7" i="28"/>
  <c r="L7" i="28"/>
  <c r="M7" i="28" s="1"/>
  <c r="H7" i="28"/>
  <c r="E7" i="28"/>
  <c r="F7" i="28" s="1"/>
  <c r="O6" i="28"/>
  <c r="L6" i="28"/>
  <c r="M6" i="28" s="1"/>
  <c r="H6" i="28"/>
  <c r="E6" i="28"/>
  <c r="F6" i="28" s="1"/>
  <c r="O5" i="28"/>
  <c r="L5" i="28"/>
  <c r="M5" i="28" s="1"/>
  <c r="H5" i="28"/>
  <c r="E5" i="28"/>
  <c r="F5" i="28" s="1"/>
  <c r="O4" i="28"/>
  <c r="M4" i="28"/>
  <c r="L4" i="28"/>
  <c r="H4" i="28"/>
  <c r="E4" i="28"/>
  <c r="F4" i="28" s="1"/>
  <c r="S18" i="27"/>
  <c r="S19" i="27" s="1"/>
  <c r="M26" i="27"/>
  <c r="M25" i="27"/>
  <c r="M24" i="27"/>
  <c r="M23" i="27"/>
  <c r="H24" i="27"/>
  <c r="E24" i="27"/>
  <c r="F24" i="27" s="1"/>
  <c r="H23" i="27"/>
  <c r="E23" i="27"/>
  <c r="F23" i="27" s="1"/>
  <c r="F9" i="26"/>
  <c r="H34" i="26"/>
  <c r="E34" i="26"/>
  <c r="F34" i="26" s="1"/>
  <c r="O11" i="26"/>
  <c r="L11" i="26"/>
  <c r="M11" i="26" s="1"/>
  <c r="H13" i="26"/>
  <c r="E13" i="26"/>
  <c r="F13" i="26" s="1"/>
  <c r="M22" i="27"/>
  <c r="H22" i="27"/>
  <c r="E22" i="27"/>
  <c r="F22" i="27" s="1"/>
  <c r="M21" i="27"/>
  <c r="H21" i="27"/>
  <c r="E21" i="27"/>
  <c r="F21" i="27" s="1"/>
  <c r="M20" i="27"/>
  <c r="H20" i="27"/>
  <c r="E20" i="27"/>
  <c r="F20" i="27" s="1"/>
  <c r="M19" i="27"/>
  <c r="H19" i="27"/>
  <c r="E19" i="27"/>
  <c r="F19" i="27" s="1"/>
  <c r="M18" i="27"/>
  <c r="H18" i="27"/>
  <c r="E18" i="27"/>
  <c r="F18" i="27" s="1"/>
  <c r="M17" i="27"/>
  <c r="H17" i="27"/>
  <c r="E17" i="27"/>
  <c r="F17" i="27" s="1"/>
  <c r="M16" i="27"/>
  <c r="H16" i="27"/>
  <c r="E16" i="27"/>
  <c r="F16" i="27" s="1"/>
  <c r="M15" i="27"/>
  <c r="H15" i="27"/>
  <c r="F15" i="27"/>
  <c r="E15" i="27"/>
  <c r="M14" i="27"/>
  <c r="H14" i="27"/>
  <c r="E14" i="27"/>
  <c r="F14" i="27" s="1"/>
  <c r="M13" i="27"/>
  <c r="H13" i="27"/>
  <c r="E13" i="27"/>
  <c r="F13" i="27" s="1"/>
  <c r="M12" i="27"/>
  <c r="H12" i="27"/>
  <c r="F12" i="27"/>
  <c r="E12" i="27"/>
  <c r="M11" i="27"/>
  <c r="H11" i="27"/>
  <c r="E11" i="27"/>
  <c r="F11" i="27" s="1"/>
  <c r="M10" i="27"/>
  <c r="H10" i="27"/>
  <c r="F10" i="27"/>
  <c r="E10" i="27"/>
  <c r="M9" i="27"/>
  <c r="H9" i="27"/>
  <c r="E9" i="27"/>
  <c r="F9" i="27" s="1"/>
  <c r="M8" i="27"/>
  <c r="H8" i="27"/>
  <c r="F8" i="27"/>
  <c r="E8" i="27"/>
  <c r="H7" i="27"/>
  <c r="E7" i="27"/>
  <c r="F7" i="27" s="1"/>
  <c r="O6" i="27"/>
  <c r="H6" i="27"/>
  <c r="E6" i="27"/>
  <c r="F6" i="27" s="1"/>
  <c r="O5" i="27"/>
  <c r="L5" i="27"/>
  <c r="M5" i="27" s="1"/>
  <c r="H5" i="27"/>
  <c r="E5" i="27"/>
  <c r="F5" i="27" s="1"/>
  <c r="O4" i="27"/>
  <c r="L4" i="27"/>
  <c r="M4" i="27" s="1"/>
  <c r="H4" i="27"/>
  <c r="E4" i="27"/>
  <c r="F4" i="27" s="1"/>
  <c r="M37" i="26"/>
  <c r="M36" i="26"/>
  <c r="H36" i="26"/>
  <c r="M35" i="26"/>
  <c r="M34" i="26"/>
  <c r="M33" i="26"/>
  <c r="H33" i="26"/>
  <c r="F33" i="26"/>
  <c r="E33" i="26"/>
  <c r="M32" i="26"/>
  <c r="H32" i="26"/>
  <c r="F32" i="26"/>
  <c r="E32" i="26"/>
  <c r="M31" i="26"/>
  <c r="H31" i="26"/>
  <c r="E31" i="26"/>
  <c r="F31" i="26" s="1"/>
  <c r="M30" i="26"/>
  <c r="H30" i="26"/>
  <c r="F30" i="26"/>
  <c r="E30" i="26"/>
  <c r="M29" i="26"/>
  <c r="H29" i="26"/>
  <c r="E29" i="26"/>
  <c r="F29" i="26" s="1"/>
  <c r="M28" i="26"/>
  <c r="H28" i="26"/>
  <c r="E28" i="26"/>
  <c r="M27" i="26"/>
  <c r="H27" i="26"/>
  <c r="M26" i="26"/>
  <c r="H26" i="26"/>
  <c r="E26" i="26"/>
  <c r="F26" i="26" s="1"/>
  <c r="M25" i="26"/>
  <c r="H25" i="26"/>
  <c r="F25" i="26"/>
  <c r="E25" i="26"/>
  <c r="S24" i="26"/>
  <c r="M24" i="26"/>
  <c r="H24" i="26"/>
  <c r="E24" i="26"/>
  <c r="F24" i="26" s="1"/>
  <c r="H23" i="26"/>
  <c r="E23" i="26"/>
  <c r="F23" i="26" s="1"/>
  <c r="O22" i="26"/>
  <c r="H22" i="26"/>
  <c r="E22" i="26"/>
  <c r="F22" i="26" s="1"/>
  <c r="O21" i="26"/>
  <c r="L21" i="26"/>
  <c r="M21" i="26" s="1"/>
  <c r="H21" i="26"/>
  <c r="E21" i="26"/>
  <c r="F21" i="26" s="1"/>
  <c r="O20" i="26"/>
  <c r="L20" i="26"/>
  <c r="M20" i="26" s="1"/>
  <c r="H20" i="26"/>
  <c r="F20" i="26"/>
  <c r="E20" i="26"/>
  <c r="H19" i="26"/>
  <c r="E19" i="26"/>
  <c r="F19" i="26" s="1"/>
  <c r="H18" i="26"/>
  <c r="F18" i="26"/>
  <c r="E18" i="26"/>
  <c r="H17" i="26"/>
  <c r="F17" i="26"/>
  <c r="E17" i="26"/>
  <c r="O16" i="26"/>
  <c r="H16" i="26"/>
  <c r="F16" i="26"/>
  <c r="E16" i="26"/>
  <c r="O15" i="26"/>
  <c r="H15" i="26"/>
  <c r="F15" i="26"/>
  <c r="E15" i="26"/>
  <c r="O14" i="26"/>
  <c r="L14" i="26"/>
  <c r="H14" i="26"/>
  <c r="E14" i="26"/>
  <c r="F14" i="26" s="1"/>
  <c r="O13" i="26"/>
  <c r="M13" i="26"/>
  <c r="L13" i="26"/>
  <c r="O12" i="26"/>
  <c r="L12" i="26"/>
  <c r="M12" i="26" s="1"/>
  <c r="H12" i="26"/>
  <c r="F12" i="26"/>
  <c r="E12" i="26"/>
  <c r="H11" i="26"/>
  <c r="F11" i="26"/>
  <c r="E11" i="26"/>
  <c r="O10" i="26"/>
  <c r="L10" i="26"/>
  <c r="M10" i="26" s="1"/>
  <c r="H10" i="26"/>
  <c r="F10" i="26"/>
  <c r="E10" i="26"/>
  <c r="O9" i="26"/>
  <c r="L9" i="26"/>
  <c r="M9" i="26" s="1"/>
  <c r="H9" i="26"/>
  <c r="E9" i="26"/>
  <c r="O8" i="26"/>
  <c r="L8" i="26"/>
  <c r="M8" i="26" s="1"/>
  <c r="H8" i="26"/>
  <c r="F8" i="26"/>
  <c r="E8" i="26"/>
  <c r="O7" i="26"/>
  <c r="L7" i="26"/>
  <c r="M7" i="26" s="1"/>
  <c r="H7" i="26"/>
  <c r="F7" i="26"/>
  <c r="E7" i="26"/>
  <c r="O6" i="26"/>
  <c r="L6" i="26"/>
  <c r="M6" i="26" s="1"/>
  <c r="H6" i="26"/>
  <c r="F6" i="26"/>
  <c r="E6" i="26"/>
  <c r="O5" i="26"/>
  <c r="L5" i="26"/>
  <c r="M5" i="26" s="1"/>
  <c r="H5" i="26"/>
  <c r="E5" i="26"/>
  <c r="F5" i="26" s="1"/>
  <c r="O4" i="26"/>
  <c r="L4" i="26"/>
  <c r="M4" i="26" s="1"/>
  <c r="H4" i="26"/>
  <c r="F4" i="26"/>
  <c r="E4" i="26"/>
  <c r="S25" i="32" l="1"/>
  <c r="S12" i="33"/>
  <c r="S16" i="33"/>
  <c r="S19" i="33"/>
  <c r="S20" i="32"/>
  <c r="S16" i="31"/>
  <c r="S25" i="30"/>
  <c r="S29" i="30" s="1"/>
  <c r="S12" i="31"/>
  <c r="S19" i="31" s="1"/>
  <c r="S18" i="29"/>
  <c r="S27" i="28"/>
  <c r="S23" i="28"/>
  <c r="S22" i="28"/>
  <c r="S10" i="29"/>
  <c r="S20" i="29"/>
  <c r="S14" i="29"/>
  <c r="S16" i="29" s="1"/>
  <c r="S11" i="29"/>
  <c r="S28" i="28"/>
  <c r="S11" i="27"/>
  <c r="S14" i="27"/>
  <c r="S15" i="27"/>
  <c r="S23" i="26"/>
  <c r="S27" i="26"/>
  <c r="S22" i="26"/>
  <c r="S20" i="27"/>
  <c r="S10" i="27"/>
  <c r="S17" i="26"/>
  <c r="S19" i="26"/>
  <c r="S28" i="26"/>
  <c r="S18" i="26"/>
  <c r="S29" i="32" l="1"/>
  <c r="S12" i="29"/>
  <c r="S19" i="29"/>
  <c r="S25" i="28"/>
  <c r="S29" i="28" s="1"/>
  <c r="S16" i="27"/>
  <c r="S12" i="27"/>
  <c r="S25" i="26"/>
  <c r="S20" i="26"/>
  <c r="S29" i="2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吳吟珊</author>
  </authors>
  <commentList>
    <comment ref="D9" authorId="0" shapeId="0" xr:uid="{24C7E814-FC69-47B4-A902-0EF7EDDFF5D2}">
      <text>
        <r>
          <rPr>
            <b/>
            <sz val="14"/>
            <color indexed="81"/>
            <rFont val="Tahoma"/>
            <family val="2"/>
          </rPr>
          <t>1/16</t>
        </r>
        <r>
          <rPr>
            <b/>
            <sz val="14"/>
            <color indexed="81"/>
            <rFont val="細明體"/>
            <family val="3"/>
            <charset val="136"/>
          </rPr>
          <t>離職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吳吟珊</author>
  </authors>
  <commentList>
    <comment ref="K23" authorId="0" shapeId="0" xr:uid="{9A911D0F-F1C4-4887-A925-1F1CEB085A19}">
      <text>
        <r>
          <rPr>
            <b/>
            <sz val="14"/>
            <color indexed="81"/>
            <rFont val="細明體"/>
            <family val="3"/>
            <charset val="136"/>
          </rPr>
          <t>1/30到職</t>
        </r>
      </text>
    </comment>
    <comment ref="K24" authorId="0" shapeId="0" xr:uid="{A96C67C8-66F4-478A-8E85-93D6E091C81D}">
      <text>
        <r>
          <rPr>
            <b/>
            <sz val="14"/>
            <color indexed="81"/>
            <rFont val="細明體"/>
            <family val="3"/>
            <charset val="136"/>
          </rPr>
          <t>1/30到職</t>
        </r>
      </text>
    </comment>
    <comment ref="K25" authorId="0" shapeId="0" xr:uid="{127279B3-0582-4DA5-8D0A-710077F22A09}">
      <text>
        <r>
          <rPr>
            <b/>
            <sz val="14"/>
            <color indexed="81"/>
            <rFont val="細明體"/>
            <family val="3"/>
            <charset val="136"/>
          </rPr>
          <t>1/30到職</t>
        </r>
      </text>
    </comment>
    <comment ref="K26" authorId="0" shapeId="0" xr:uid="{B77642F7-0B53-47DD-BA3A-32AA5CF13FB5}">
      <text>
        <r>
          <rPr>
            <b/>
            <sz val="14"/>
            <color indexed="81"/>
            <rFont val="細明體"/>
            <family val="3"/>
            <charset val="136"/>
          </rPr>
          <t>1/30到職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吳吟珊</author>
  </authors>
  <commentList>
    <comment ref="D34" authorId="0" shapeId="0" xr:uid="{8295D1B4-393E-4B3D-B2AE-CD4259FBDA7B}">
      <text>
        <r>
          <rPr>
            <b/>
            <sz val="14"/>
            <color indexed="81"/>
            <rFont val="細明體"/>
            <family val="3"/>
            <charset val="136"/>
          </rPr>
          <t>2/28離職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吳吟珊</author>
  </authors>
  <commentList>
    <comment ref="K4" authorId="0" shapeId="0" xr:uid="{74F4F70F-0B9B-4AF6-9ED8-786B87B836F2}">
      <text>
        <r>
          <rPr>
            <sz val="14"/>
            <color indexed="81"/>
            <rFont val="Tahoma"/>
            <family val="2"/>
          </rPr>
          <t>3/26</t>
        </r>
        <r>
          <rPr>
            <sz val="14"/>
            <color indexed="81"/>
            <rFont val="細明體"/>
            <family val="3"/>
            <charset val="136"/>
          </rPr>
          <t>已離職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吳吟珊</author>
  </authors>
  <commentList>
    <comment ref="N9" authorId="0" shapeId="0" xr:uid="{CF928ACF-28FE-48E2-9E45-ADC8F6410FF1}">
      <text>
        <r>
          <rPr>
            <b/>
            <sz val="14"/>
            <color indexed="81"/>
            <rFont val="細明體"/>
            <family val="3"/>
            <charset val="136"/>
          </rPr>
          <t>因為沒住宿舍</t>
        </r>
      </text>
    </comment>
    <comment ref="N19" authorId="0" shapeId="0" xr:uid="{B624C279-845B-4757-9873-E7B7A4CA69FA}">
      <text>
        <r>
          <rPr>
            <b/>
            <sz val="14"/>
            <color indexed="81"/>
            <rFont val="細明體"/>
            <family val="3"/>
            <charset val="136"/>
          </rPr>
          <t>因為沒住宿舍</t>
        </r>
      </text>
    </comment>
    <comment ref="N21" authorId="0" shapeId="0" xr:uid="{0902618E-3388-4310-9942-E0A59CD98F92}">
      <text>
        <r>
          <rPr>
            <b/>
            <sz val="14"/>
            <color indexed="81"/>
            <rFont val="細明體"/>
            <family val="3"/>
            <charset val="136"/>
          </rPr>
          <t>因為沒住宿舍</t>
        </r>
      </text>
    </comment>
    <comment ref="D25" authorId="0" shapeId="0" xr:uid="{E8753FF8-2F9E-4830-8440-A6C4F2FC93DD}">
      <text>
        <r>
          <rPr>
            <b/>
            <sz val="14"/>
            <color indexed="81"/>
            <rFont val="Tahoma"/>
            <family val="2"/>
          </rPr>
          <t>3/16</t>
        </r>
        <r>
          <rPr>
            <b/>
            <sz val="14"/>
            <color indexed="81"/>
            <rFont val="細明體"/>
            <family val="3"/>
            <charset val="136"/>
          </rPr>
          <t>到職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吳吟珊</author>
  </authors>
  <commentList>
    <comment ref="D11" authorId="0" shapeId="0" xr:uid="{D1CD85CA-F176-4FD2-9AFA-06092B4065A8}">
      <text>
        <r>
          <rPr>
            <b/>
            <sz val="14"/>
            <color indexed="81"/>
            <rFont val="細明體"/>
            <family val="3"/>
            <charset val="136"/>
          </rPr>
          <t>4/1到職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吳吟珊</author>
  </authors>
  <commentList>
    <comment ref="N9" authorId="0" shapeId="0" xr:uid="{7096D257-EED5-442E-8D0A-7EADA1957FF0}">
      <text>
        <r>
          <rPr>
            <b/>
            <sz val="14"/>
            <color indexed="81"/>
            <rFont val="細明體"/>
            <family val="3"/>
            <charset val="136"/>
          </rPr>
          <t>因為沒住宿舍</t>
        </r>
      </text>
    </comment>
    <comment ref="N19" authorId="0" shapeId="0" xr:uid="{9B23A0C3-B186-4F3C-B827-980CE178B395}">
      <text>
        <r>
          <rPr>
            <b/>
            <sz val="14"/>
            <color indexed="81"/>
            <rFont val="細明體"/>
            <family val="3"/>
            <charset val="136"/>
          </rPr>
          <t>因為沒住宿舍</t>
        </r>
      </text>
    </comment>
    <comment ref="N21" authorId="0" shapeId="0" xr:uid="{6051204F-C946-49C2-B19E-878CCE96FE51}">
      <text>
        <r>
          <rPr>
            <b/>
            <sz val="14"/>
            <color indexed="81"/>
            <rFont val="細明體"/>
            <family val="3"/>
            <charset val="136"/>
          </rPr>
          <t>因為沒住宿舍</t>
        </r>
      </text>
    </comment>
    <comment ref="D24" authorId="0" shapeId="0" xr:uid="{5915A05D-3871-4FBE-9B2A-CADCB948B64E}">
      <text>
        <r>
          <rPr>
            <b/>
            <sz val="15"/>
            <color indexed="81"/>
            <rFont val="Tahoma"/>
            <family val="2"/>
          </rPr>
          <t>4/22</t>
        </r>
        <r>
          <rPr>
            <b/>
            <sz val="15"/>
            <color indexed="81"/>
            <rFont val="細明體"/>
            <family val="3"/>
            <charset val="136"/>
          </rPr>
          <t>調部門</t>
        </r>
      </text>
    </comment>
    <comment ref="D25" authorId="0" shapeId="0" xr:uid="{833E3FF2-E774-4D55-BC3A-3D5D9B33CA13}">
      <text>
        <r>
          <rPr>
            <b/>
            <sz val="15"/>
            <color indexed="81"/>
            <rFont val="Tahoma"/>
            <family val="2"/>
          </rPr>
          <t>4/13</t>
        </r>
        <r>
          <rPr>
            <b/>
            <sz val="15"/>
            <color indexed="81"/>
            <rFont val="細明體"/>
            <family val="3"/>
            <charset val="136"/>
          </rPr>
          <t>調部門</t>
        </r>
      </text>
    </comment>
    <comment ref="D28" authorId="0" shapeId="0" xr:uid="{B9234CB9-1403-4DA2-9C6E-3F46B91E47CF}">
      <text>
        <r>
          <rPr>
            <b/>
            <sz val="16"/>
            <color indexed="81"/>
            <rFont val="細明體"/>
            <family val="3"/>
            <charset val="136"/>
          </rPr>
          <t>4/16到職</t>
        </r>
      </text>
    </comment>
  </commentList>
</comments>
</file>

<file path=xl/sharedStrings.xml><?xml version="1.0" encoding="utf-8"?>
<sst xmlns="http://schemas.openxmlformats.org/spreadsheetml/2006/main" count="1126" uniqueCount="238">
  <si>
    <r>
      <rPr>
        <b/>
        <sz val="23"/>
        <rFont val="新細明體"/>
        <family val="1"/>
        <charset val="136"/>
      </rPr>
      <t>特展公司</t>
    </r>
    <r>
      <rPr>
        <b/>
        <sz val="23"/>
        <rFont val="Times New Roman"/>
        <family val="1"/>
      </rPr>
      <t>-</t>
    </r>
    <r>
      <rPr>
        <b/>
        <sz val="23"/>
        <rFont val="新細明體"/>
        <family val="1"/>
        <charset val="136"/>
      </rPr>
      <t>員工伙食選擇清單</t>
    </r>
  </si>
  <si>
    <t>部門</t>
  </si>
  <si>
    <t>工號</t>
  </si>
  <si>
    <t>姓名</t>
  </si>
  <si>
    <t>發餐費</t>
  </si>
  <si>
    <t>合計</t>
  </si>
  <si>
    <t>補發天數</t>
  </si>
  <si>
    <t>備註</t>
  </si>
  <si>
    <t xml:space="preserve"> </t>
  </si>
  <si>
    <t>董事長</t>
  </si>
  <si>
    <t>王茂寅</t>
  </si>
  <si>
    <t>生產課</t>
  </si>
  <si>
    <t>石朝松</t>
  </si>
  <si>
    <t>財務課</t>
  </si>
  <si>
    <t>曾文玲</t>
  </si>
  <si>
    <t>"</t>
  </si>
  <si>
    <t>鄭懷惠</t>
  </si>
  <si>
    <t>黃麗花</t>
  </si>
  <si>
    <t>1011-1</t>
  </si>
  <si>
    <t>陳裕謹</t>
  </si>
  <si>
    <t>羅美玉</t>
  </si>
  <si>
    <t>賴淑玟</t>
  </si>
  <si>
    <t>技術課</t>
  </si>
  <si>
    <t>楊榮顯</t>
  </si>
  <si>
    <t>總務課</t>
  </si>
  <si>
    <t>李條枝</t>
  </si>
  <si>
    <t>馬秀枝</t>
  </si>
  <si>
    <t>邱奕明</t>
  </si>
  <si>
    <t>1019-1</t>
  </si>
  <si>
    <t>曾怡禎</t>
  </si>
  <si>
    <t>李春圓</t>
  </si>
  <si>
    <t>黃景杉</t>
  </si>
  <si>
    <t>品管課</t>
  </si>
  <si>
    <t>黃清賜</t>
  </si>
  <si>
    <t>廠務課</t>
  </si>
  <si>
    <t>張京海</t>
  </si>
  <si>
    <t>張家銘</t>
  </si>
  <si>
    <t>薛國昌</t>
  </si>
  <si>
    <t>謝秋菊</t>
  </si>
  <si>
    <t>1002-1</t>
  </si>
  <si>
    <t>吳岳璋</t>
  </si>
  <si>
    <t>劉嘉萍</t>
  </si>
  <si>
    <t>業務課</t>
  </si>
  <si>
    <t>吳祖福</t>
  </si>
  <si>
    <r>
      <rPr>
        <sz val="16"/>
        <rFont val="Times New Roman"/>
        <family val="1"/>
      </rPr>
      <t>(</t>
    </r>
    <r>
      <rPr>
        <sz val="16"/>
        <rFont val="新細明體"/>
        <family val="1"/>
        <charset val="136"/>
      </rPr>
      <t>建全部分</t>
    </r>
    <r>
      <rPr>
        <sz val="16"/>
        <rFont val="Times New Roman"/>
        <family val="1"/>
      </rPr>
      <t xml:space="preserve">) </t>
    </r>
  </si>
  <si>
    <t>甲方案合計：</t>
  </si>
  <si>
    <t>1052A</t>
  </si>
  <si>
    <t>陳鍵坪</t>
  </si>
  <si>
    <t>V</t>
  </si>
  <si>
    <t>蕭威崧</t>
  </si>
  <si>
    <t>陳志學</t>
  </si>
  <si>
    <r>
      <rPr>
        <sz val="16"/>
        <rFont val="Times New Roman"/>
        <family val="1"/>
      </rPr>
      <t>(</t>
    </r>
    <r>
      <rPr>
        <sz val="16"/>
        <rFont val="新細明體"/>
        <family val="1"/>
        <charset val="136"/>
      </rPr>
      <t>外勞</t>
    </r>
    <r>
      <rPr>
        <sz val="16"/>
        <rFont val="Times New Roman"/>
        <family val="1"/>
      </rPr>
      <t>)</t>
    </r>
  </si>
  <si>
    <t>林雪華</t>
  </si>
  <si>
    <t>外勞</t>
  </si>
  <si>
    <t>哈弟</t>
  </si>
  <si>
    <t>阿武</t>
  </si>
  <si>
    <t>其他補發合計：</t>
  </si>
  <si>
    <t>後段</t>
  </si>
  <si>
    <t>鄧紹煌</t>
  </si>
  <si>
    <t>濕式課</t>
  </si>
  <si>
    <t>辜智煌</t>
  </si>
  <si>
    <t>洛尼</t>
  </si>
  <si>
    <t>外勞合計：</t>
  </si>
  <si>
    <t>鄧哲昇</t>
  </si>
  <si>
    <t>總計：</t>
  </si>
  <si>
    <t>物料課</t>
  </si>
  <si>
    <t>郭文隆</t>
  </si>
  <si>
    <t>加利</t>
  </si>
  <si>
    <t>=</t>
  </si>
  <si>
    <t>張芙蓉</t>
  </si>
  <si>
    <t>班恩</t>
  </si>
  <si>
    <t>田美紅</t>
  </si>
  <si>
    <t>他尼</t>
  </si>
  <si>
    <t>劉麗菊</t>
  </si>
  <si>
    <t>蘇帕</t>
  </si>
  <si>
    <t>沙達</t>
  </si>
  <si>
    <t>阿飛</t>
  </si>
  <si>
    <t>外勞：</t>
  </si>
  <si>
    <r>
      <rPr>
        <b/>
        <sz val="14"/>
        <rFont val="Times New Roman"/>
        <family val="1"/>
      </rPr>
      <t>1.</t>
    </r>
    <r>
      <rPr>
        <b/>
        <sz val="14"/>
        <rFont val="細明體"/>
        <family val="3"/>
        <charset val="136"/>
      </rPr>
      <t>請假：</t>
    </r>
    <r>
      <rPr>
        <b/>
        <sz val="14"/>
        <rFont val="Times New Roman"/>
        <family val="1"/>
      </rPr>
      <t>$60/</t>
    </r>
    <r>
      <rPr>
        <b/>
        <sz val="14"/>
        <rFont val="細明體"/>
        <family val="3"/>
        <charset val="136"/>
      </rPr>
      <t>天</t>
    </r>
  </si>
  <si>
    <r>
      <rPr>
        <b/>
        <sz val="14"/>
        <rFont val="Times New Roman"/>
        <family val="1"/>
      </rPr>
      <t>2.</t>
    </r>
    <r>
      <rPr>
        <b/>
        <sz val="14"/>
        <rFont val="細明體"/>
        <family val="3"/>
        <charset val="136"/>
      </rPr>
      <t>排休：</t>
    </r>
    <r>
      <rPr>
        <b/>
        <sz val="14"/>
        <rFont val="Times New Roman"/>
        <family val="1"/>
      </rPr>
      <t>$100/</t>
    </r>
    <r>
      <rPr>
        <b/>
        <sz val="14"/>
        <rFont val="細明體"/>
        <family val="3"/>
        <charset val="136"/>
      </rPr>
      <t>天</t>
    </r>
  </si>
  <si>
    <t>顧問</t>
  </si>
  <si>
    <t>T4001</t>
  </si>
  <si>
    <t>蔡秋雄</t>
  </si>
  <si>
    <t>T4008</t>
  </si>
  <si>
    <t>劉貞㚬</t>
  </si>
  <si>
    <t>T4002</t>
  </si>
  <si>
    <t>黃正煜</t>
  </si>
  <si>
    <t>T4009</t>
  </si>
  <si>
    <t>邱秋蘭</t>
  </si>
  <si>
    <t>T4010</t>
  </si>
  <si>
    <t>蔡振峰</t>
  </si>
  <si>
    <t>T4004</t>
  </si>
  <si>
    <t>陳冠呈</t>
  </si>
  <si>
    <t>T4011</t>
  </si>
  <si>
    <t>林宗宏</t>
  </si>
  <si>
    <t>T4005</t>
  </si>
  <si>
    <t>徐鵬翔</t>
  </si>
  <si>
    <t>T4012</t>
  </si>
  <si>
    <t>詹皇德</t>
  </si>
  <si>
    <t>T4006</t>
  </si>
  <si>
    <t>陳宗能</t>
  </si>
  <si>
    <t>T4013</t>
  </si>
  <si>
    <t>潘曾淑美</t>
  </si>
  <si>
    <t>T4007</t>
  </si>
  <si>
    <t>徐惠美</t>
  </si>
  <si>
    <t>T4014</t>
  </si>
  <si>
    <t>劉文傑</t>
  </si>
  <si>
    <t>T4021</t>
  </si>
  <si>
    <t>鍾庭會</t>
  </si>
  <si>
    <t>T4017</t>
  </si>
  <si>
    <t>郭丞邑</t>
  </si>
  <si>
    <t>T4022</t>
  </si>
  <si>
    <t>潘文祺</t>
  </si>
  <si>
    <t>T4015-1</t>
  </si>
  <si>
    <t>林建行</t>
  </si>
  <si>
    <t>甲方案：</t>
  </si>
  <si>
    <t>T4023</t>
  </si>
  <si>
    <t>陳永勝</t>
  </si>
  <si>
    <t>T4024</t>
  </si>
  <si>
    <t>黃小琪</t>
  </si>
  <si>
    <t>T7024</t>
  </si>
  <si>
    <t>黃文金</t>
  </si>
  <si>
    <t>T7026</t>
  </si>
  <si>
    <t>黎如秋</t>
  </si>
  <si>
    <t>T7025</t>
  </si>
  <si>
    <t>阮庭嚴</t>
  </si>
  <si>
    <t>其他補發：</t>
  </si>
  <si>
    <t>T7028</t>
  </si>
  <si>
    <t>蘇文長</t>
  </si>
  <si>
    <t>T7031</t>
  </si>
  <si>
    <t>阮文玲</t>
  </si>
  <si>
    <t>T7032</t>
  </si>
  <si>
    <t>何文書</t>
  </si>
  <si>
    <t>T7033</t>
  </si>
  <si>
    <t>阮氏幸</t>
  </si>
  <si>
    <t>T7029</t>
  </si>
  <si>
    <t>阮玉麗</t>
  </si>
  <si>
    <t>T7030</t>
  </si>
  <si>
    <t>趙氏蘭</t>
  </si>
  <si>
    <t>賴建安</t>
  </si>
  <si>
    <t>陳維忠</t>
  </si>
  <si>
    <t>梅世英</t>
  </si>
  <si>
    <t>T7035</t>
  </si>
  <si>
    <t>黎春榮</t>
  </si>
  <si>
    <t>黃秀利</t>
  </si>
  <si>
    <t>吳榮庭</t>
  </si>
  <si>
    <t>埃吉</t>
  </si>
  <si>
    <t>T7037</t>
  </si>
  <si>
    <t>T7038</t>
  </si>
  <si>
    <t>阮文決</t>
  </si>
  <si>
    <t>T7039</t>
  </si>
  <si>
    <t>陳日南</t>
  </si>
  <si>
    <t>武黃玉宣</t>
  </si>
  <si>
    <t>阮明財</t>
  </si>
  <si>
    <t>T7040</t>
  </si>
  <si>
    <t>吳吟珊</t>
  </si>
  <si>
    <t>1054A</t>
    <phoneticPr fontId="26" type="noConversion"/>
  </si>
  <si>
    <t>廠務課</t>
    <phoneticPr fontId="26" type="noConversion"/>
  </si>
  <si>
    <t xml:space="preserve">洪沛瀅  </t>
  </si>
  <si>
    <t>陳氏江</t>
    <phoneticPr fontId="26" type="noConversion"/>
  </si>
  <si>
    <t>T7042</t>
    <phoneticPr fontId="26" type="noConversion"/>
  </si>
  <si>
    <t>林順億</t>
    <phoneticPr fontId="26" type="noConversion"/>
  </si>
  <si>
    <t>T1074</t>
    <phoneticPr fontId="26" type="noConversion"/>
  </si>
  <si>
    <t>T4026</t>
    <phoneticPr fontId="26" type="noConversion"/>
  </si>
  <si>
    <t>卓淽柃</t>
    <phoneticPr fontId="26" type="noConversion"/>
  </si>
  <si>
    <t>T4027</t>
    <phoneticPr fontId="26" type="noConversion"/>
  </si>
  <si>
    <t>許建璋</t>
    <phoneticPr fontId="26" type="noConversion"/>
  </si>
  <si>
    <t>T1076</t>
    <phoneticPr fontId="26" type="noConversion"/>
  </si>
  <si>
    <t>陳慧芳</t>
    <phoneticPr fontId="26" type="noConversion"/>
  </si>
  <si>
    <t>阮世英</t>
    <phoneticPr fontId="26" type="noConversion"/>
  </si>
  <si>
    <t>T7044</t>
    <phoneticPr fontId="26" type="noConversion"/>
  </si>
  <si>
    <r>
      <t>『選擇甲方案者』每人應發</t>
    </r>
    <r>
      <rPr>
        <sz val="14"/>
        <rFont val="Times New Roman"/>
        <family val="1"/>
      </rPr>
      <t>NT$2,100</t>
    </r>
    <r>
      <rPr>
        <sz val="14"/>
        <rFont val="新細明體"/>
        <family val="1"/>
        <charset val="136"/>
      </rPr>
      <t>元整</t>
    </r>
    <r>
      <rPr>
        <sz val="14"/>
        <rFont val="Times New Roman"/>
        <family val="1"/>
      </rPr>
      <t>*19</t>
    </r>
    <r>
      <rPr>
        <sz val="14"/>
        <rFont val="新細明體"/>
        <family val="1"/>
        <charset val="136"/>
      </rPr>
      <t>人</t>
    </r>
    <phoneticPr fontId="26" type="noConversion"/>
  </si>
  <si>
    <t>T7045</t>
    <phoneticPr fontId="26" type="noConversion"/>
  </si>
  <si>
    <t>阮庭山</t>
    <phoneticPr fontId="26" type="noConversion"/>
  </si>
  <si>
    <t>1045-1</t>
    <phoneticPr fontId="26" type="noConversion"/>
  </si>
  <si>
    <t>蘇泰明</t>
    <phoneticPr fontId="26" type="noConversion"/>
  </si>
  <si>
    <t>李有強</t>
    <phoneticPr fontId="26" type="noConversion"/>
  </si>
  <si>
    <t>T4029</t>
    <phoneticPr fontId="26" type="noConversion"/>
  </si>
  <si>
    <t>T4030</t>
    <phoneticPr fontId="26" type="noConversion"/>
  </si>
  <si>
    <r>
      <t>115</t>
    </r>
    <r>
      <rPr>
        <b/>
        <sz val="16"/>
        <rFont val="新細明體"/>
        <family val="1"/>
        <charset val="136"/>
      </rPr>
      <t>年</t>
    </r>
    <r>
      <rPr>
        <b/>
        <sz val="16"/>
        <rFont val="Times New Roman"/>
        <family val="1"/>
      </rPr>
      <t>1</t>
    </r>
    <r>
      <rPr>
        <b/>
        <sz val="16"/>
        <rFont val="新細明體"/>
        <family val="1"/>
        <charset val="136"/>
      </rPr>
      <t>月份</t>
    </r>
    <phoneticPr fontId="26" type="noConversion"/>
  </si>
  <si>
    <t>楊孟雄</t>
    <phoneticPr fontId="26" type="noConversion"/>
  </si>
  <si>
    <t>范鄧光</t>
    <phoneticPr fontId="26" type="noConversion"/>
  </si>
  <si>
    <t>黃文孝</t>
    <phoneticPr fontId="26" type="noConversion"/>
  </si>
  <si>
    <t>鄧光松</t>
    <phoneticPr fontId="26" type="noConversion"/>
  </si>
  <si>
    <t>T4047</t>
    <phoneticPr fontId="26" type="noConversion"/>
  </si>
  <si>
    <t>T7048</t>
    <phoneticPr fontId="26" type="noConversion"/>
  </si>
  <si>
    <t>T7046</t>
    <phoneticPr fontId="26" type="noConversion"/>
  </si>
  <si>
    <t>T7049</t>
    <phoneticPr fontId="26" type="noConversion"/>
  </si>
  <si>
    <t>『外勞周日便當費』合計：$1,300*2+$1,400*12=$19,400</t>
    <phoneticPr fontId="26" type="noConversion"/>
  </si>
  <si>
    <t>1/29-1/30回越南</t>
    <phoneticPr fontId="26" type="noConversion"/>
  </si>
  <si>
    <t>『其他補發便當費』合計4人= $3,420</t>
    <phoneticPr fontId="26" type="noConversion"/>
  </si>
  <si>
    <t>『外勞周日便當費』合計：$120*4+$1,300*8+$1,400*5+$1,500*2=$20,880</t>
    <phoneticPr fontId="26" type="noConversion"/>
  </si>
  <si>
    <t>總計應發金額NT$64,200</t>
    <phoneticPr fontId="26" type="noConversion"/>
  </si>
  <si>
    <r>
      <t>『選擇甲方案者』每人應發</t>
    </r>
    <r>
      <rPr>
        <sz val="14"/>
        <rFont val="Times New Roman"/>
        <family val="1"/>
      </rPr>
      <t>NT$2,100</t>
    </r>
    <r>
      <rPr>
        <sz val="14"/>
        <rFont val="新細明體"/>
        <family val="1"/>
        <charset val="136"/>
      </rPr>
      <t>元整</t>
    </r>
    <r>
      <rPr>
        <sz val="14"/>
        <rFont val="Times New Roman"/>
        <family val="1"/>
      </rPr>
      <t>*31</t>
    </r>
    <r>
      <rPr>
        <sz val="14"/>
        <rFont val="新細明體"/>
        <family val="1"/>
        <charset val="136"/>
      </rPr>
      <t>人</t>
    </r>
    <phoneticPr fontId="26" type="noConversion"/>
  </si>
  <si>
    <t>『其他補發便當費』合計10人= $13,000</t>
    <phoneticPr fontId="26" type="noConversion"/>
  </si>
  <si>
    <t>總計應發金額NT$97,500</t>
    <phoneticPr fontId="26" type="noConversion"/>
  </si>
  <si>
    <r>
      <t>115</t>
    </r>
    <r>
      <rPr>
        <b/>
        <sz val="16"/>
        <rFont val="新細明體"/>
        <family val="1"/>
        <charset val="136"/>
      </rPr>
      <t>年2月份</t>
    </r>
    <phoneticPr fontId="26" type="noConversion"/>
  </si>
  <si>
    <t>黃清賜</t>
    <phoneticPr fontId="26" type="noConversion"/>
  </si>
  <si>
    <t>2/4-2/28 回越南</t>
    <phoneticPr fontId="26" type="noConversion"/>
  </si>
  <si>
    <t>曾文祺</t>
    <phoneticPr fontId="26" type="noConversion"/>
  </si>
  <si>
    <t>2/9-2/13回越南</t>
    <phoneticPr fontId="26" type="noConversion"/>
  </si>
  <si>
    <t>齋戒月2/18-2/28</t>
    <phoneticPr fontId="26" type="noConversion"/>
  </si>
  <si>
    <t>2/1-2/25回越南</t>
    <phoneticPr fontId="26" type="noConversion"/>
  </si>
  <si>
    <r>
      <t>『選擇甲方案者』每人應發</t>
    </r>
    <r>
      <rPr>
        <sz val="14"/>
        <rFont val="Times New Roman"/>
        <family val="1"/>
      </rPr>
      <t>NT$2,100</t>
    </r>
    <r>
      <rPr>
        <sz val="14"/>
        <rFont val="新細明體"/>
        <family val="1"/>
        <charset val="136"/>
      </rPr>
      <t>元整</t>
    </r>
    <r>
      <rPr>
        <sz val="14"/>
        <rFont val="Times New Roman"/>
        <family val="1"/>
      </rPr>
      <t>*32</t>
    </r>
    <r>
      <rPr>
        <sz val="14"/>
        <rFont val="新細明體"/>
        <family val="1"/>
        <charset val="136"/>
      </rPr>
      <t>人</t>
    </r>
    <phoneticPr fontId="26" type="noConversion"/>
  </si>
  <si>
    <t>『其他補發便當費』合計8人= $11,460</t>
    <phoneticPr fontId="26" type="noConversion"/>
  </si>
  <si>
    <t>『外勞周日便當費』合計：$1,700*7+$1,940*5+$2,200*1+$2,040*1=$25,840</t>
    <phoneticPr fontId="26" type="noConversion"/>
  </si>
  <si>
    <t>『其他補發便當費』合計4人= $5,280</t>
    <phoneticPr fontId="26" type="noConversion"/>
  </si>
  <si>
    <t>『外勞周日便當費』合計：$1700*12+$1,800*5+$2,900*1+$3,000*1=$35,300</t>
    <phoneticPr fontId="26" type="noConversion"/>
  </si>
  <si>
    <t>總計應發金額NT$80,480</t>
    <phoneticPr fontId="26" type="noConversion"/>
  </si>
  <si>
    <t>總計應發金額NT$104,500</t>
    <phoneticPr fontId="26" type="noConversion"/>
  </si>
  <si>
    <r>
      <t>115</t>
    </r>
    <r>
      <rPr>
        <b/>
        <sz val="16"/>
        <rFont val="新細明體"/>
        <family val="1"/>
        <charset val="136"/>
      </rPr>
      <t>年3月份</t>
    </r>
    <phoneticPr fontId="26" type="noConversion"/>
  </si>
  <si>
    <t>吳珮雯</t>
    <phoneticPr fontId="26" type="noConversion"/>
  </si>
  <si>
    <t>不給假日伙食津貼</t>
    <phoneticPr fontId="26" type="noConversion"/>
  </si>
  <si>
    <t>齋戒月3/1-3/19</t>
    <phoneticPr fontId="26" type="noConversion"/>
  </si>
  <si>
    <t>齋戒月3/1-3/20</t>
  </si>
  <si>
    <t>齋戒月3/1-3/21</t>
  </si>
  <si>
    <t>齋戒月3/1-3/22</t>
  </si>
  <si>
    <t>齋戒月3/1-3/23</t>
  </si>
  <si>
    <t>齋戒月3/1-3/24</t>
  </si>
  <si>
    <r>
      <t>『選擇甲方案者』每人應發</t>
    </r>
    <r>
      <rPr>
        <sz val="14"/>
        <rFont val="Times New Roman"/>
        <family val="1"/>
      </rPr>
      <t>NT$2,100</t>
    </r>
    <r>
      <rPr>
        <sz val="14"/>
        <rFont val="新細明體"/>
        <family val="1"/>
        <charset val="136"/>
      </rPr>
      <t>元整</t>
    </r>
    <r>
      <rPr>
        <sz val="14"/>
        <rFont val="Times New Roman"/>
        <family val="1"/>
      </rPr>
      <t>*30</t>
    </r>
    <r>
      <rPr>
        <sz val="14"/>
        <rFont val="新細明體"/>
        <family val="1"/>
        <charset val="136"/>
      </rPr>
      <t>人</t>
    </r>
    <phoneticPr fontId="26" type="noConversion"/>
  </si>
  <si>
    <t>『其他補發便當費』合計9人= $10,680</t>
    <phoneticPr fontId="26" type="noConversion"/>
  </si>
  <si>
    <t>『外勞周日便當費』合計：$1,000*6+$1,940*4+$1,100*2+$1,880*1+$2,040*1+=$19,880</t>
    <phoneticPr fontId="26" type="noConversion"/>
  </si>
  <si>
    <t>總計應發金額NT$93,560</t>
    <phoneticPr fontId="26" type="noConversion"/>
  </si>
  <si>
    <t>3/2-3/4回越南</t>
    <phoneticPr fontId="26" type="noConversion"/>
  </si>
  <si>
    <t>3/3-3/31回越南</t>
    <phoneticPr fontId="26" type="noConversion"/>
  </si>
  <si>
    <r>
      <t>『選擇甲方案者』每人應發</t>
    </r>
    <r>
      <rPr>
        <sz val="14"/>
        <rFont val="Times New Roman"/>
        <family val="1"/>
      </rPr>
      <t>NT$2,100</t>
    </r>
    <r>
      <rPr>
        <sz val="14"/>
        <rFont val="新細明體"/>
        <family val="1"/>
        <charset val="136"/>
      </rPr>
      <t>元整</t>
    </r>
    <r>
      <rPr>
        <sz val="14"/>
        <rFont val="Times New Roman"/>
        <family val="1"/>
      </rPr>
      <t>*18</t>
    </r>
    <r>
      <rPr>
        <sz val="14"/>
        <rFont val="新細明體"/>
        <family val="1"/>
        <charset val="136"/>
      </rPr>
      <t>人</t>
    </r>
    <phoneticPr fontId="26" type="noConversion"/>
  </si>
  <si>
    <t>『其他補發便當費』合計6人= $6760</t>
    <phoneticPr fontId="26" type="noConversion"/>
  </si>
  <si>
    <t>『外勞周日便當費』合計：$1100*2+$1,200*10+$1300*1+$1400*1+$1500*1+$3300*1=$21700</t>
    <phoneticPr fontId="26" type="noConversion"/>
  </si>
  <si>
    <t>總計應發金額NT$66260</t>
    <phoneticPr fontId="26" type="noConversion"/>
  </si>
  <si>
    <r>
      <t>115</t>
    </r>
    <r>
      <rPr>
        <b/>
        <sz val="16"/>
        <rFont val="新細明體"/>
        <family val="1"/>
        <charset val="136"/>
      </rPr>
      <t>年4月份</t>
    </r>
    <phoneticPr fontId="26" type="noConversion"/>
  </si>
  <si>
    <t>T1077</t>
    <phoneticPr fontId="26" type="noConversion"/>
  </si>
  <si>
    <t>林雅玲</t>
    <phoneticPr fontId="26" type="noConversion"/>
  </si>
  <si>
    <t>黃秀利</t>
    <phoneticPr fontId="26" type="noConversion"/>
  </si>
  <si>
    <t>生產課</t>
    <phoneticPr fontId="26" type="noConversion"/>
  </si>
  <si>
    <t>T4031</t>
    <phoneticPr fontId="26" type="noConversion"/>
  </si>
  <si>
    <t>徐源桂</t>
    <phoneticPr fontId="26" type="noConversion"/>
  </si>
  <si>
    <t>T4032</t>
    <phoneticPr fontId="26" type="noConversion"/>
  </si>
  <si>
    <t>T1073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</si>
</sst>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#,##0_ "/>
    <numFmt numFmtId="177" formatCode="_-&quot;$&quot;* #,##0_-;\-&quot;$&quot;* #,##0_-;_-&quot;$&quot;* &quot;-&quot;??_-;_-@_-"/>
    <numFmt numFmtId="178" formatCode="_-[$$-404]* #,##0_-;\-[$$-404]* #,##0_-;_-[$$-404]* &quot;-&quot;??_-;_-@_-"/>
    <numFmt numFmtId="179" formatCode="0.00_ "/>
  </numFmts>
  <fonts count="43">
    <font>
      <sz val="12"/>
      <name val="新細明體"/>
      <charset val="136"/>
    </font>
    <font>
      <b/>
      <sz val="16"/>
      <name val="新造粗鋼筆行楷"/>
      <charset val="136"/>
    </font>
    <font>
      <b/>
      <sz val="14"/>
      <name val="Times New Roman"/>
      <family val="1"/>
    </font>
    <font>
      <b/>
      <sz val="12"/>
      <name val="新細明體"/>
      <family val="1"/>
      <charset val="136"/>
    </font>
    <font>
      <b/>
      <sz val="12"/>
      <name val="Times New Roman"/>
      <family val="1"/>
    </font>
    <font>
      <b/>
      <sz val="23"/>
      <name val="新細明體"/>
      <family val="1"/>
      <charset val="136"/>
    </font>
    <font>
      <b/>
      <sz val="23"/>
      <name val="Times New Roman"/>
      <family val="1"/>
    </font>
    <font>
      <sz val="12"/>
      <name val="Times New Roman"/>
      <family val="1"/>
    </font>
    <font>
      <b/>
      <sz val="16"/>
      <name val="新細明體"/>
      <family val="1"/>
      <charset val="136"/>
    </font>
    <font>
      <sz val="14"/>
      <name val="新細明體"/>
      <family val="1"/>
      <charset val="136"/>
    </font>
    <font>
      <sz val="14"/>
      <name val="Times New Roman"/>
      <family val="1"/>
    </font>
    <font>
      <sz val="10"/>
      <name val="新細明體"/>
      <family val="1"/>
      <charset val="136"/>
    </font>
    <font>
      <sz val="14"/>
      <name val="細明體"/>
      <family val="3"/>
      <charset val="136"/>
    </font>
    <font>
      <sz val="8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12"/>
      <name val="細明體"/>
      <family val="3"/>
      <charset val="136"/>
    </font>
    <font>
      <sz val="10"/>
      <name val="Times New Roman"/>
      <family val="1"/>
    </font>
    <font>
      <b/>
      <sz val="14"/>
      <name val="新造粗鋼筆行楷"/>
      <charset val="136"/>
    </font>
    <font>
      <b/>
      <sz val="12"/>
      <color rgb="FFFF0000"/>
      <name val="新細明體"/>
      <family val="1"/>
      <charset val="136"/>
    </font>
    <font>
      <sz val="14"/>
      <color indexed="8"/>
      <name val="新細明體"/>
      <family val="1"/>
      <charset val="136"/>
    </font>
    <font>
      <sz val="12"/>
      <name val="新細明體"/>
      <family val="2"/>
      <scheme val="minor"/>
    </font>
    <font>
      <b/>
      <sz val="12"/>
      <name val="新造粗鋼筆行楷"/>
      <charset val="136"/>
    </font>
    <font>
      <sz val="16"/>
      <name val="新細明體"/>
      <family val="1"/>
      <charset val="136"/>
    </font>
    <font>
      <b/>
      <sz val="14"/>
      <name val="細明體"/>
      <family val="3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theme="1"/>
      <name val="Times New Roman"/>
      <family val="1"/>
    </font>
    <font>
      <b/>
      <sz val="28"/>
      <name val="新細明體"/>
      <family val="1"/>
      <charset val="136"/>
    </font>
    <font>
      <sz val="14"/>
      <name val="新細明體"/>
      <family val="1"/>
      <charset val="136"/>
      <scheme val="major"/>
    </font>
    <font>
      <sz val="12"/>
      <color rgb="FFFF0000"/>
      <name val="新細明體"/>
      <family val="2"/>
      <scheme val="minor"/>
    </font>
    <font>
      <sz val="12"/>
      <color rgb="FFFF0000"/>
      <name val="細明體"/>
      <family val="3"/>
      <charset val="136"/>
    </font>
    <font>
      <b/>
      <sz val="12"/>
      <color rgb="FFFF0000"/>
      <name val="Times New Roman"/>
      <family val="1"/>
    </font>
    <font>
      <b/>
      <sz val="12"/>
      <color rgb="FFFF0000"/>
      <name val="新細明體"/>
      <family val="1"/>
      <charset val="136"/>
      <scheme val="minor"/>
    </font>
    <font>
      <sz val="12"/>
      <color rgb="FFFF0000"/>
      <name val="Times New Roman"/>
      <family val="1"/>
    </font>
    <font>
      <b/>
      <sz val="14"/>
      <color indexed="81"/>
      <name val="Tahoma"/>
      <family val="2"/>
    </font>
    <font>
      <b/>
      <sz val="14"/>
      <color indexed="81"/>
      <name val="細明體"/>
      <family val="3"/>
      <charset val="136"/>
    </font>
    <font>
      <sz val="14"/>
      <name val="Microsoft JhengHei"/>
      <family val="1"/>
    </font>
    <font>
      <sz val="14"/>
      <color indexed="81"/>
      <name val="Tahoma"/>
      <family val="2"/>
    </font>
    <font>
      <sz val="14"/>
      <color indexed="81"/>
      <name val="細明體"/>
      <family val="3"/>
      <charset val="136"/>
    </font>
    <font>
      <b/>
      <sz val="16"/>
      <color indexed="81"/>
      <name val="細明體"/>
      <family val="3"/>
      <charset val="136"/>
    </font>
    <font>
      <b/>
      <sz val="15"/>
      <color indexed="81"/>
      <name val="Tahoma"/>
      <family val="2"/>
    </font>
    <font>
      <b/>
      <sz val="15"/>
      <color indexed="81"/>
      <name val="細明體"/>
      <family val="3"/>
      <charset val="136"/>
    </font>
  </fonts>
  <fills count="10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1" fontId="25" fillId="0" borderId="0" applyFont="0" applyFill="0" applyBorder="0" applyAlignment="0" applyProtection="0"/>
  </cellStyleXfs>
  <cellXfs count="20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0" fontId="8" fillId="0" borderId="3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shrinkToFit="1"/>
    </xf>
    <xf numFmtId="0" fontId="9" fillId="0" borderId="5" xfId="0" applyFont="1" applyBorder="1" applyAlignment="1">
      <alignment horizontal="center" vertical="center" shrinkToFit="1"/>
    </xf>
    <xf numFmtId="0" fontId="10" fillId="2" borderId="6" xfId="0" applyFont="1" applyFill="1" applyBorder="1" applyAlignment="1">
      <alignment horizontal="center" vertical="center" shrinkToFit="1"/>
    </xf>
    <xf numFmtId="0" fontId="9" fillId="3" borderId="6" xfId="0" applyFont="1" applyFill="1" applyBorder="1" applyAlignment="1">
      <alignment horizontal="center" vertical="center" shrinkToFit="1"/>
    </xf>
    <xf numFmtId="176" fontId="10" fillId="3" borderId="6" xfId="3" applyNumberFormat="1" applyFont="1" applyFill="1" applyBorder="1" applyAlignment="1">
      <alignment horizontal="center" vertical="center"/>
    </xf>
    <xf numFmtId="177" fontId="10" fillId="3" borderId="6" xfId="2" applyNumberFormat="1" applyFont="1" applyFill="1" applyBorder="1" applyAlignment="1">
      <alignment horizontal="center" vertical="center" shrinkToFit="1"/>
    </xf>
    <xf numFmtId="0" fontId="10" fillId="3" borderId="7" xfId="2" applyNumberFormat="1" applyFont="1" applyFill="1" applyBorder="1" applyAlignment="1">
      <alignment horizontal="center" vertical="center" shrinkToFit="1"/>
    </xf>
    <xf numFmtId="0" fontId="11" fillId="3" borderId="8" xfId="0" applyFont="1" applyFill="1" applyBorder="1" applyAlignment="1">
      <alignment horizontal="center" vertical="center" shrinkToFit="1"/>
    </xf>
    <xf numFmtId="0" fontId="9" fillId="0" borderId="9" xfId="0" applyFont="1" applyBorder="1" applyAlignment="1">
      <alignment horizontal="center" vertical="center" shrinkToFit="1"/>
    </xf>
    <xf numFmtId="0" fontId="10" fillId="2" borderId="10" xfId="0" applyFont="1" applyFill="1" applyBorder="1" applyAlignment="1">
      <alignment horizontal="center" vertical="center" shrinkToFit="1"/>
    </xf>
    <xf numFmtId="0" fontId="9" fillId="3" borderId="10" xfId="0" applyFont="1" applyFill="1" applyBorder="1" applyAlignment="1">
      <alignment horizontal="center" vertical="center"/>
    </xf>
    <xf numFmtId="177" fontId="10" fillId="3" borderId="10" xfId="2" applyNumberFormat="1" applyFont="1" applyFill="1" applyBorder="1" applyAlignment="1">
      <alignment horizontal="center" vertical="center" shrinkToFit="1"/>
    </xf>
    <xf numFmtId="0" fontId="10" fillId="3" borderId="11" xfId="2" applyNumberFormat="1" applyFont="1" applyFill="1" applyBorder="1" applyAlignment="1">
      <alignment horizontal="center" vertical="center" shrinkToFit="1"/>
    </xf>
    <xf numFmtId="0" fontId="11" fillId="3" borderId="7" xfId="0" applyFont="1" applyFill="1" applyBorder="1" applyAlignment="1">
      <alignment horizontal="center" vertical="center" shrinkToFit="1"/>
    </xf>
    <xf numFmtId="0" fontId="10" fillId="0" borderId="9" xfId="0" applyFont="1" applyBorder="1" applyAlignment="1">
      <alignment horizontal="center" vertical="center" shrinkToFit="1"/>
    </xf>
    <xf numFmtId="0" fontId="10" fillId="2" borderId="10" xfId="0" applyFont="1" applyFill="1" applyBorder="1" applyAlignment="1">
      <alignment horizontal="center" vertical="center"/>
    </xf>
    <xf numFmtId="177" fontId="12" fillId="3" borderId="10" xfId="2" applyNumberFormat="1" applyFont="1" applyFill="1" applyBorder="1" applyAlignment="1">
      <alignment horizontal="center" vertical="center" shrinkToFit="1"/>
    </xf>
    <xf numFmtId="176" fontId="10" fillId="3" borderId="10" xfId="3" applyNumberFormat="1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shrinkToFit="1"/>
    </xf>
    <xf numFmtId="0" fontId="9" fillId="3" borderId="13" xfId="0" applyFont="1" applyFill="1" applyBorder="1" applyAlignment="1">
      <alignment horizontal="center" vertical="center"/>
    </xf>
    <xf numFmtId="177" fontId="10" fillId="3" borderId="13" xfId="2" applyNumberFormat="1" applyFont="1" applyFill="1" applyBorder="1" applyAlignment="1">
      <alignment horizontal="center" vertical="center" shrinkToFit="1"/>
    </xf>
    <xf numFmtId="0" fontId="10" fillId="0" borderId="14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176" fontId="10" fillId="0" borderId="0" xfId="3" applyNumberFormat="1" applyFont="1" applyFill="1" applyBorder="1" applyAlignment="1">
      <alignment horizontal="center" vertical="center"/>
    </xf>
    <xf numFmtId="177" fontId="10" fillId="0" borderId="0" xfId="2" applyNumberFormat="1" applyFont="1" applyFill="1" applyBorder="1" applyAlignment="1">
      <alignment horizontal="center" vertical="center" shrinkToFit="1"/>
    </xf>
    <xf numFmtId="0" fontId="10" fillId="0" borderId="0" xfId="2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wrapText="1"/>
    </xf>
    <xf numFmtId="0" fontId="8" fillId="0" borderId="18" xfId="0" applyFont="1" applyBorder="1" applyAlignment="1">
      <alignment horizontal="center" vertical="center" shrinkToFit="1"/>
    </xf>
    <xf numFmtId="0" fontId="8" fillId="0" borderId="19" xfId="0" applyFont="1" applyBorder="1" applyAlignment="1">
      <alignment horizontal="center" vertical="center" shrinkToFit="1"/>
    </xf>
    <xf numFmtId="0" fontId="8" fillId="0" borderId="20" xfId="0" applyFont="1" applyBorder="1" applyAlignment="1">
      <alignment horizontal="center" vertical="center" shrinkToFit="1"/>
    </xf>
    <xf numFmtId="0" fontId="9" fillId="3" borderId="21" xfId="0" applyFont="1" applyFill="1" applyBorder="1" applyAlignment="1">
      <alignment horizontal="center" vertical="center" shrinkToFit="1"/>
    </xf>
    <xf numFmtId="177" fontId="3" fillId="4" borderId="10" xfId="2" applyNumberFormat="1" applyFont="1" applyFill="1" applyBorder="1"/>
    <xf numFmtId="0" fontId="4" fillId="0" borderId="10" xfId="0" applyFont="1" applyBorder="1" applyAlignment="1">
      <alignment horizontal="center"/>
    </xf>
    <xf numFmtId="0" fontId="9" fillId="3" borderId="5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 shrinkToFit="1"/>
    </xf>
    <xf numFmtId="0" fontId="9" fillId="0" borderId="6" xfId="0" applyFont="1" applyBorder="1" applyAlignment="1">
      <alignment horizontal="center" vertical="center"/>
    </xf>
    <xf numFmtId="0" fontId="0" fillId="3" borderId="12" xfId="0" applyFill="1" applyBorder="1" applyAlignment="1">
      <alignment horizontal="center" vertical="center" shrinkToFit="1"/>
    </xf>
    <xf numFmtId="0" fontId="10" fillId="3" borderId="9" xfId="0" applyFont="1" applyFill="1" applyBorder="1" applyAlignment="1">
      <alignment horizontal="center" vertical="center"/>
    </xf>
    <xf numFmtId="176" fontId="10" fillId="3" borderId="10" xfId="3" applyNumberFormat="1" applyFont="1" applyFill="1" applyBorder="1" applyAlignment="1">
      <alignment horizontal="center" vertical="center" shrinkToFit="1"/>
    </xf>
    <xf numFmtId="0" fontId="16" fillId="3" borderId="8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0" fillId="0" borderId="1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76" fontId="10" fillId="0" borderId="0" xfId="3" applyNumberFormat="1" applyFont="1" applyFill="1" applyBorder="1" applyAlignment="1">
      <alignment horizontal="center" vertical="center" shrinkToFit="1"/>
    </xf>
    <xf numFmtId="0" fontId="17" fillId="0" borderId="0" xfId="0" applyFont="1" applyAlignment="1">
      <alignment horizontal="center" vertical="center" shrinkToFit="1"/>
    </xf>
    <xf numFmtId="0" fontId="2" fillId="6" borderId="0" xfId="0" applyFont="1" applyFill="1" applyAlignment="1">
      <alignment horizontal="right" vertical="center"/>
    </xf>
    <xf numFmtId="0" fontId="2" fillId="6" borderId="0" xfId="0" applyFont="1" applyFill="1"/>
    <xf numFmtId="0" fontId="1" fillId="0" borderId="0" xfId="0" applyFont="1" applyAlignment="1">
      <alignment horizontal="right"/>
    </xf>
    <xf numFmtId="177" fontId="3" fillId="0" borderId="0" xfId="0" applyNumberFormat="1" applyFont="1" applyAlignment="1">
      <alignment horizontal="right"/>
    </xf>
    <xf numFmtId="177" fontId="18" fillId="0" borderId="0" xfId="0" applyNumberFormat="1" applyFont="1" applyAlignment="1">
      <alignment horizontal="right"/>
    </xf>
    <xf numFmtId="177" fontId="3" fillId="2" borderId="0" xfId="2" applyNumberFormat="1" applyFont="1" applyFill="1"/>
    <xf numFmtId="177" fontId="3" fillId="4" borderId="0" xfId="2" applyNumberFormat="1" applyFont="1" applyFill="1"/>
    <xf numFmtId="0" fontId="18" fillId="0" borderId="0" xfId="0" applyFont="1" applyAlignment="1">
      <alignment horizontal="right"/>
    </xf>
    <xf numFmtId="177" fontId="19" fillId="0" borderId="27" xfId="2" applyNumberFormat="1" applyFont="1" applyBorder="1"/>
    <xf numFmtId="0" fontId="3" fillId="0" borderId="0" xfId="0" applyFont="1" applyAlignment="1">
      <alignment horizontal="left"/>
    </xf>
    <xf numFmtId="177" fontId="3" fillId="4" borderId="0" xfId="0" applyNumberFormat="1" applyFont="1" applyFill="1"/>
    <xf numFmtId="177" fontId="3" fillId="2" borderId="28" xfId="0" applyNumberFormat="1" applyFont="1" applyFill="1" applyBorder="1"/>
    <xf numFmtId="177" fontId="19" fillId="0" borderId="27" xfId="0" applyNumberFormat="1" applyFont="1" applyBorder="1"/>
    <xf numFmtId="0" fontId="3" fillId="0" borderId="28" xfId="0" applyFont="1" applyBorder="1" applyAlignment="1">
      <alignment horizontal="right"/>
    </xf>
    <xf numFmtId="178" fontId="3" fillId="5" borderId="28" xfId="2" applyNumberFormat="1" applyFont="1" applyFill="1" applyBorder="1"/>
    <xf numFmtId="177" fontId="3" fillId="0" borderId="0" xfId="0" applyNumberFormat="1" applyFont="1"/>
    <xf numFmtId="0" fontId="2" fillId="6" borderId="0" xfId="0" applyFont="1" applyFill="1" applyAlignment="1">
      <alignment vertical="center"/>
    </xf>
    <xf numFmtId="0" fontId="2" fillId="0" borderId="0" xfId="0" applyFont="1" applyAlignment="1">
      <alignment horizontal="right"/>
    </xf>
    <xf numFmtId="0" fontId="8" fillId="0" borderId="4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shrinkToFit="1"/>
    </xf>
    <xf numFmtId="0" fontId="10" fillId="2" borderId="30" xfId="0" applyFont="1" applyFill="1" applyBorder="1" applyAlignment="1">
      <alignment horizontal="center" vertical="center" shrinkToFit="1"/>
    </xf>
    <xf numFmtId="49" fontId="20" fillId="0" borderId="31" xfId="0" applyNumberFormat="1" applyFont="1" applyBorder="1" applyAlignment="1">
      <alignment horizontal="center" vertical="center" shrinkToFit="1"/>
    </xf>
    <xf numFmtId="176" fontId="10" fillId="3" borderId="6" xfId="3" applyNumberFormat="1" applyFont="1" applyFill="1" applyBorder="1" applyAlignment="1">
      <alignment horizontal="center" vertical="center" shrinkToFit="1"/>
    </xf>
    <xf numFmtId="177" fontId="10" fillId="3" borderId="32" xfId="2" applyNumberFormat="1" applyFont="1" applyFill="1" applyBorder="1" applyAlignment="1">
      <alignment horizontal="center" vertical="center" shrinkToFit="1"/>
    </xf>
    <xf numFmtId="0" fontId="10" fillId="3" borderId="31" xfId="2" applyNumberFormat="1" applyFont="1" applyFill="1" applyBorder="1" applyAlignment="1">
      <alignment horizontal="center" vertical="center" shrinkToFit="1"/>
    </xf>
    <xf numFmtId="0" fontId="11" fillId="3" borderId="33" xfId="0" applyFont="1" applyFill="1" applyBorder="1" applyAlignment="1">
      <alignment horizontal="center" vertical="center" shrinkToFit="1"/>
    </xf>
    <xf numFmtId="0" fontId="9" fillId="0" borderId="7" xfId="0" applyFont="1" applyBorder="1" applyAlignment="1">
      <alignment horizontal="center" vertical="center"/>
    </xf>
    <xf numFmtId="177" fontId="10" fillId="3" borderId="34" xfId="2" applyNumberFormat="1" applyFont="1" applyFill="1" applyBorder="1" applyAlignment="1">
      <alignment horizontal="center" vertical="center" shrinkToFit="1"/>
    </xf>
    <xf numFmtId="0" fontId="9" fillId="0" borderId="11" xfId="0" applyFont="1" applyBorder="1" applyAlignment="1">
      <alignment horizontal="center" vertical="center"/>
    </xf>
    <xf numFmtId="177" fontId="10" fillId="3" borderId="21" xfId="2" applyNumberFormat="1" applyFont="1" applyFill="1" applyBorder="1" applyAlignment="1">
      <alignment horizontal="center" vertical="center" shrinkToFit="1"/>
    </xf>
    <xf numFmtId="0" fontId="9" fillId="3" borderId="9" xfId="0" applyFont="1" applyFill="1" applyBorder="1" applyAlignment="1">
      <alignment horizontal="center" vertical="center" shrinkToFit="1"/>
    </xf>
    <xf numFmtId="0" fontId="8" fillId="0" borderId="35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shrinkToFit="1"/>
    </xf>
    <xf numFmtId="0" fontId="9" fillId="3" borderId="29" xfId="0" applyFont="1" applyFill="1" applyBorder="1" applyAlignment="1">
      <alignment horizontal="center" vertical="center" shrinkToFit="1"/>
    </xf>
    <xf numFmtId="0" fontId="10" fillId="4" borderId="30" xfId="0" applyFont="1" applyFill="1" applyBorder="1" applyAlignment="1">
      <alignment horizontal="center" vertical="center" shrinkToFit="1"/>
    </xf>
    <xf numFmtId="0" fontId="9" fillId="0" borderId="30" xfId="0" applyFont="1" applyBorder="1" applyAlignment="1">
      <alignment horizontal="center" vertical="center" shrinkToFit="1"/>
    </xf>
    <xf numFmtId="177" fontId="10" fillId="3" borderId="30" xfId="2" applyNumberFormat="1" applyFont="1" applyFill="1" applyBorder="1" applyAlignment="1">
      <alignment horizontal="center" vertical="center" shrinkToFit="1"/>
    </xf>
    <xf numFmtId="0" fontId="10" fillId="3" borderId="37" xfId="2" applyNumberFormat="1" applyFont="1" applyFill="1" applyBorder="1" applyAlignment="1">
      <alignment horizontal="center" vertical="center" shrinkToFit="1"/>
    </xf>
    <xf numFmtId="0" fontId="7" fillId="3" borderId="33" xfId="0" applyFont="1" applyFill="1" applyBorder="1" applyAlignment="1">
      <alignment horizontal="center" vertical="center" shrinkToFit="1"/>
    </xf>
    <xf numFmtId="0" fontId="10" fillId="4" borderId="10" xfId="0" applyFont="1" applyFill="1" applyBorder="1" applyAlignment="1">
      <alignment horizontal="center" vertical="center" shrinkToFit="1"/>
    </xf>
    <xf numFmtId="0" fontId="10" fillId="3" borderId="10" xfId="2" applyNumberFormat="1" applyFont="1" applyFill="1" applyBorder="1" applyAlignment="1">
      <alignment horizontal="center" vertical="center" shrinkToFit="1"/>
    </xf>
    <xf numFmtId="0" fontId="7" fillId="3" borderId="8" xfId="0" applyFont="1" applyFill="1" applyBorder="1" applyAlignment="1">
      <alignment horizontal="center" vertical="center" shrinkToFit="1"/>
    </xf>
    <xf numFmtId="0" fontId="10" fillId="3" borderId="38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shrinkToFit="1"/>
    </xf>
    <xf numFmtId="0" fontId="9" fillId="0" borderId="13" xfId="0" applyFont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7" fontId="10" fillId="7" borderId="10" xfId="2" applyNumberFormat="1" applyFont="1" applyFill="1" applyBorder="1" applyAlignment="1">
      <alignment horizontal="center" vertical="center" shrinkToFit="1"/>
    </xf>
    <xf numFmtId="176" fontId="10" fillId="3" borderId="13" xfId="3" applyNumberFormat="1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 wrapText="1"/>
    </xf>
    <xf numFmtId="0" fontId="21" fillId="3" borderId="8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3" fillId="0" borderId="41" xfId="0" applyFont="1" applyBorder="1"/>
    <xf numFmtId="14" fontId="22" fillId="0" borderId="41" xfId="0" applyNumberFormat="1" applyFont="1" applyBorder="1"/>
    <xf numFmtId="14" fontId="22" fillId="0" borderId="0" xfId="0" applyNumberFormat="1" applyFont="1"/>
    <xf numFmtId="0" fontId="17" fillId="0" borderId="10" xfId="0" applyFont="1" applyBorder="1" applyAlignment="1">
      <alignment vertical="center" shrinkToFit="1"/>
    </xf>
    <xf numFmtId="177" fontId="18" fillId="0" borderId="0" xfId="0" applyNumberFormat="1" applyFont="1"/>
    <xf numFmtId="0" fontId="18" fillId="0" borderId="0" xfId="0" applyFont="1"/>
    <xf numFmtId="177" fontId="3" fillId="7" borderId="28" xfId="2" applyNumberFormat="1" applyFont="1" applyFill="1" applyBorder="1"/>
    <xf numFmtId="0" fontId="19" fillId="0" borderId="0" xfId="0" applyFont="1"/>
    <xf numFmtId="177" fontId="3" fillId="7" borderId="28" xfId="0" applyNumberFormat="1" applyFont="1" applyFill="1" applyBorder="1"/>
    <xf numFmtId="0" fontId="3" fillId="0" borderId="28" xfId="0" applyFont="1" applyBorder="1"/>
    <xf numFmtId="177" fontId="3" fillId="5" borderId="28" xfId="0" applyNumberFormat="1" applyFont="1" applyFill="1" applyBorder="1"/>
    <xf numFmtId="177" fontId="19" fillId="0" borderId="17" xfId="0" applyNumberFormat="1" applyFont="1" applyBorder="1"/>
    <xf numFmtId="0" fontId="4" fillId="0" borderId="6" xfId="0" applyFont="1" applyBorder="1" applyAlignment="1">
      <alignment horizontal="center"/>
    </xf>
    <xf numFmtId="0" fontId="21" fillId="0" borderId="8" xfId="0" applyFont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7" fillId="8" borderId="10" xfId="0" applyFont="1" applyFill="1" applyBorder="1" applyAlignment="1">
      <alignment horizontal="center" vertical="center"/>
    </xf>
    <xf numFmtId="177" fontId="28" fillId="0" borderId="0" xfId="0" applyNumberFormat="1" applyFont="1"/>
    <xf numFmtId="0" fontId="30" fillId="3" borderId="8" xfId="0" applyFont="1" applyFill="1" applyBorder="1" applyAlignment="1">
      <alignment horizontal="center" vertical="center" wrapText="1"/>
    </xf>
    <xf numFmtId="0" fontId="31" fillId="3" borderId="8" xfId="0" applyFont="1" applyFill="1" applyBorder="1" applyAlignment="1">
      <alignment horizontal="center" vertical="center" wrapText="1"/>
    </xf>
    <xf numFmtId="0" fontId="31" fillId="3" borderId="8" xfId="0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shrinkToFit="1"/>
    </xf>
    <xf numFmtId="0" fontId="29" fillId="0" borderId="10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wrapText="1"/>
    </xf>
    <xf numFmtId="0" fontId="33" fillId="3" borderId="8" xfId="0" applyFont="1" applyFill="1" applyBorder="1" applyAlignment="1">
      <alignment horizontal="center" vertical="center" wrapText="1"/>
    </xf>
    <xf numFmtId="176" fontId="10" fillId="3" borderId="15" xfId="3" applyNumberFormat="1" applyFont="1" applyFill="1" applyBorder="1" applyAlignment="1">
      <alignment horizontal="center" vertical="center"/>
    </xf>
    <xf numFmtId="177" fontId="10" fillId="3" borderId="15" xfId="2" applyNumberFormat="1" applyFont="1" applyFill="1" applyBorder="1" applyAlignment="1">
      <alignment horizontal="center" vertical="center" shrinkToFit="1"/>
    </xf>
    <xf numFmtId="0" fontId="10" fillId="0" borderId="11" xfId="2" applyNumberFormat="1" applyFont="1" applyFill="1" applyBorder="1" applyAlignment="1">
      <alignment horizontal="center" vertical="center" shrinkToFit="1"/>
    </xf>
    <xf numFmtId="0" fontId="11" fillId="0" borderId="8" xfId="0" applyFont="1" applyBorder="1" applyAlignment="1">
      <alignment horizontal="center" vertical="center" shrinkToFit="1"/>
    </xf>
    <xf numFmtId="0" fontId="17" fillId="0" borderId="15" xfId="0" applyFont="1" applyBorder="1" applyAlignment="1">
      <alignment vertical="center" shrinkToFit="1"/>
    </xf>
    <xf numFmtId="0" fontId="21" fillId="3" borderId="26" xfId="0" applyFont="1" applyFill="1" applyBorder="1" applyAlignment="1">
      <alignment horizontal="center" vertical="center"/>
    </xf>
    <xf numFmtId="176" fontId="10" fillId="3" borderId="13" xfId="3" applyNumberFormat="1" applyFont="1" applyFill="1" applyBorder="1" applyAlignment="1">
      <alignment horizontal="center" vertical="center" shrinkToFit="1"/>
    </xf>
    <xf numFmtId="0" fontId="10" fillId="0" borderId="38" xfId="0" applyFont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7" fillId="0" borderId="13" xfId="0" applyFont="1" applyBorder="1" applyAlignment="1">
      <alignment vertical="center" shrinkToFit="1"/>
    </xf>
    <xf numFmtId="0" fontId="21" fillId="3" borderId="42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center" vertical="center" shrinkToFit="1"/>
    </xf>
    <xf numFmtId="0" fontId="10" fillId="2" borderId="15" xfId="0" applyFont="1" applyFill="1" applyBorder="1" applyAlignment="1">
      <alignment horizontal="center" vertical="center" shrinkToFit="1"/>
    </xf>
    <xf numFmtId="0" fontId="9" fillId="3" borderId="15" xfId="0" applyFont="1" applyFill="1" applyBorder="1" applyAlignment="1">
      <alignment horizontal="center" vertical="center"/>
    </xf>
    <xf numFmtId="0" fontId="10" fillId="3" borderId="16" xfId="2" applyNumberFormat="1" applyFont="1" applyFill="1" applyBorder="1" applyAlignment="1">
      <alignment horizontal="center" vertical="center" shrinkToFit="1"/>
    </xf>
    <xf numFmtId="0" fontId="4" fillId="0" borderId="14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6" xfId="0" applyFont="1" applyBorder="1" applyAlignment="1">
      <alignment horizontal="center" vertical="center"/>
    </xf>
    <xf numFmtId="0" fontId="10" fillId="9" borderId="10" xfId="0" applyFont="1" applyFill="1" applyBorder="1" applyAlignment="1">
      <alignment horizontal="center" vertical="center"/>
    </xf>
    <xf numFmtId="0" fontId="8" fillId="0" borderId="43" xfId="0" applyFont="1" applyBorder="1" applyAlignment="1">
      <alignment horizontal="center" vertical="center" shrinkToFit="1"/>
    </xf>
    <xf numFmtId="0" fontId="8" fillId="0" borderId="43" xfId="0" applyFont="1" applyBorder="1" applyAlignment="1">
      <alignment horizontal="center" vertical="center" wrapText="1"/>
    </xf>
    <xf numFmtId="177" fontId="10" fillId="4" borderId="10" xfId="2" applyNumberFormat="1" applyFont="1" applyFill="1" applyBorder="1" applyAlignment="1">
      <alignment horizontal="center" vertical="center"/>
    </xf>
    <xf numFmtId="0" fontId="34" fillId="0" borderId="12" xfId="0" applyFont="1" applyBorder="1" applyAlignment="1">
      <alignment horizontal="center" wrapText="1"/>
    </xf>
    <xf numFmtId="0" fontId="10" fillId="0" borderId="5" xfId="0" applyFont="1" applyBorder="1" applyAlignment="1">
      <alignment horizontal="center" vertical="center" shrinkToFit="1"/>
    </xf>
    <xf numFmtId="0" fontId="10" fillId="2" borderId="44" xfId="0" applyFont="1" applyFill="1" applyBorder="1" applyAlignment="1">
      <alignment horizontal="center" vertical="center" shrinkToFit="1"/>
    </xf>
    <xf numFmtId="0" fontId="9" fillId="3" borderId="44" xfId="0" applyFont="1" applyFill="1" applyBorder="1" applyAlignment="1">
      <alignment horizontal="center" vertical="center"/>
    </xf>
    <xf numFmtId="177" fontId="10" fillId="3" borderId="44" xfId="2" applyNumberFormat="1" applyFont="1" applyFill="1" applyBorder="1" applyAlignment="1">
      <alignment horizontal="center" vertical="center" shrinkToFit="1"/>
    </xf>
    <xf numFmtId="0" fontId="9" fillId="0" borderId="15" xfId="0" applyFont="1" applyBorder="1" applyAlignment="1">
      <alignment horizontal="center" vertical="center"/>
    </xf>
    <xf numFmtId="0" fontId="27" fillId="8" borderId="15" xfId="0" applyFont="1" applyFill="1" applyBorder="1" applyAlignment="1">
      <alignment horizontal="center" vertical="center"/>
    </xf>
    <xf numFmtId="176" fontId="10" fillId="3" borderId="15" xfId="3" applyNumberFormat="1" applyFont="1" applyFill="1" applyBorder="1" applyAlignment="1">
      <alignment horizontal="center" vertical="center" shrinkToFit="1"/>
    </xf>
    <xf numFmtId="0" fontId="30" fillId="0" borderId="8" xfId="0" applyFont="1" applyBorder="1" applyAlignment="1">
      <alignment horizontal="center" vertical="center" wrapText="1"/>
    </xf>
    <xf numFmtId="0" fontId="21" fillId="3" borderId="8" xfId="0" applyFont="1" applyFill="1" applyBorder="1" applyAlignment="1">
      <alignment horizontal="center" vertical="center" wrapText="1"/>
    </xf>
    <xf numFmtId="0" fontId="37" fillId="3" borderId="11" xfId="2" applyNumberFormat="1" applyFont="1" applyFill="1" applyBorder="1" applyAlignment="1">
      <alignment horizontal="center" vertical="center" wrapText="1" shrinkToFit="1"/>
    </xf>
    <xf numFmtId="179" fontId="31" fillId="3" borderId="8" xfId="0" applyNumberFormat="1" applyFont="1" applyFill="1" applyBorder="1" applyAlignment="1">
      <alignment horizontal="center" vertical="center" wrapText="1"/>
    </xf>
    <xf numFmtId="49" fontId="9" fillId="0" borderId="0" xfId="2" applyNumberFormat="1" applyFont="1" applyFill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15" fillId="3" borderId="39" xfId="0" applyFont="1" applyFill="1" applyBorder="1" applyAlignment="1">
      <alignment horizontal="center" vertical="center" shrinkToFit="1"/>
    </xf>
    <xf numFmtId="0" fontId="15" fillId="3" borderId="40" xfId="0" applyFont="1" applyFill="1" applyBorder="1" applyAlignment="1">
      <alignment horizontal="center" vertical="center" shrinkToFit="1"/>
    </xf>
    <xf numFmtId="0" fontId="15" fillId="3" borderId="25" xfId="0" applyFont="1" applyFill="1" applyBorder="1" applyAlignment="1">
      <alignment horizontal="center" vertical="center" shrinkToFit="1"/>
    </xf>
    <xf numFmtId="0" fontId="37" fillId="3" borderId="9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49" fontId="9" fillId="0" borderId="0" xfId="2" applyNumberFormat="1" applyFont="1" applyFill="1" applyAlignment="1">
      <alignment horizontal="center" vertical="center"/>
    </xf>
    <xf numFmtId="43" fontId="5" fillId="0" borderId="0" xfId="1" applyFont="1" applyAlignment="1">
      <alignment horizontal="center"/>
    </xf>
    <xf numFmtId="43" fontId="6" fillId="0" borderId="0" xfId="1" applyFont="1" applyAlignment="1">
      <alignment horizontal="center"/>
    </xf>
    <xf numFmtId="0" fontId="14" fillId="0" borderId="17" xfId="0" applyFont="1" applyBorder="1" applyAlignment="1">
      <alignment horizontal="right"/>
    </xf>
    <xf numFmtId="0" fontId="15" fillId="3" borderId="22" xfId="0" applyFont="1" applyFill="1" applyBorder="1" applyAlignment="1">
      <alignment horizontal="center" vertical="center" shrinkToFit="1"/>
    </xf>
    <xf numFmtId="0" fontId="15" fillId="3" borderId="23" xfId="0" applyFont="1" applyFill="1" applyBorder="1" applyAlignment="1">
      <alignment horizontal="center" vertical="center" shrinkToFit="1"/>
    </xf>
    <xf numFmtId="0" fontId="15" fillId="3" borderId="24" xfId="0" applyFont="1" applyFill="1" applyBorder="1" applyAlignment="1">
      <alignment horizontal="center" vertical="center" shrinkToFit="1"/>
    </xf>
    <xf numFmtId="0" fontId="37" fillId="3" borderId="11" xfId="2" applyNumberFormat="1" applyFont="1" applyFill="1" applyBorder="1" applyAlignment="1">
      <alignment horizontal="center" vertical="center" wrapText="1" shrinkToFit="1"/>
    </xf>
    <xf numFmtId="0" fontId="0" fillId="0" borderId="25" xfId="0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5" fillId="3" borderId="39" xfId="0" applyFont="1" applyFill="1" applyBorder="1" applyAlignment="1">
      <alignment horizontal="center" vertical="center" shrinkToFit="1"/>
    </xf>
    <xf numFmtId="0" fontId="15" fillId="3" borderId="40" xfId="0" applyFont="1" applyFill="1" applyBorder="1" applyAlignment="1">
      <alignment horizontal="center" vertical="center" shrinkToFit="1"/>
    </xf>
    <xf numFmtId="0" fontId="15" fillId="3" borderId="25" xfId="0" applyFont="1" applyFill="1" applyBorder="1" applyAlignment="1">
      <alignment horizontal="center" vertical="center" shrinkToFit="1"/>
    </xf>
    <xf numFmtId="0" fontId="9" fillId="0" borderId="35" xfId="0" applyFont="1" applyBorder="1" applyAlignment="1">
      <alignment horizontal="center" vertical="center"/>
    </xf>
  </cellXfs>
  <cellStyles count="4">
    <cellStyle name="一般" xfId="0" builtinId="0"/>
    <cellStyle name="千分位" xfId="1" builtinId="3"/>
    <cellStyle name="千分位[0]" xfId="3" builtinId="6"/>
    <cellStyle name="貨幣" xfId="2" builtinId="4"/>
  </cellStyles>
  <dxfs count="1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AAC0F-0C87-4870-8D6E-8705043B4AD7}">
  <sheetPr>
    <pageSetUpPr fitToPage="1"/>
  </sheetPr>
  <dimension ref="A1:S41"/>
  <sheetViews>
    <sheetView zoomScale="70" zoomScaleNormal="70" workbookViewId="0">
      <selection activeCell="Q5" sqref="Q5"/>
    </sheetView>
  </sheetViews>
  <sheetFormatPr defaultColWidth="9" defaultRowHeight="16.5"/>
  <cols>
    <col min="1" max="1" width="1.875" style="3" customWidth="1"/>
    <col min="2" max="2" width="10" style="4" customWidth="1"/>
    <col min="3" max="3" width="9.875" style="4" customWidth="1"/>
    <col min="4" max="4" width="10.875" style="4" customWidth="1"/>
    <col min="5" max="5" width="10.5" style="4" customWidth="1"/>
    <col min="6" max="6" width="11" style="4" customWidth="1"/>
    <col min="7" max="7" width="9" style="4" customWidth="1"/>
    <col min="8" max="8" width="10.625" style="4" customWidth="1"/>
    <col min="9" max="9" width="10" style="4" customWidth="1"/>
    <col min="10" max="10" width="9.875" style="4" customWidth="1"/>
    <col min="11" max="11" width="10.875" style="4" customWidth="1"/>
    <col min="12" max="12" width="10.5" style="4" customWidth="1"/>
    <col min="13" max="13" width="11" style="4" customWidth="1"/>
    <col min="14" max="14" width="9" style="4" customWidth="1"/>
    <col min="15" max="15" width="10.625" style="4" customWidth="1"/>
    <col min="16" max="16" width="9" style="3" customWidth="1"/>
    <col min="17" max="17" width="19.5" style="3" customWidth="1"/>
    <col min="18" max="18" width="16.75" style="3" customWidth="1"/>
    <col min="19" max="19" width="16.5" style="3" customWidth="1"/>
    <col min="20" max="256" width="9" style="3"/>
    <col min="257" max="257" width="1.875" style="3" customWidth="1"/>
    <col min="258" max="258" width="10" style="3" customWidth="1"/>
    <col min="259" max="259" width="9.875" style="3" customWidth="1"/>
    <col min="260" max="260" width="10.875" style="3" customWidth="1"/>
    <col min="261" max="261" width="10.5" style="3" customWidth="1"/>
    <col min="262" max="262" width="11" style="3" customWidth="1"/>
    <col min="263" max="263" width="9" style="3"/>
    <col min="264" max="264" width="10.625" style="3" customWidth="1"/>
    <col min="265" max="265" width="10" style="3" customWidth="1"/>
    <col min="266" max="266" width="9.875" style="3" customWidth="1"/>
    <col min="267" max="267" width="10.875" style="3" customWidth="1"/>
    <col min="268" max="268" width="10.5" style="3" customWidth="1"/>
    <col min="269" max="269" width="11" style="3" customWidth="1"/>
    <col min="270" max="270" width="9" style="3"/>
    <col min="271" max="271" width="10.625" style="3" customWidth="1"/>
    <col min="272" max="272" width="9" style="3"/>
    <col min="273" max="273" width="19.5" style="3" customWidth="1"/>
    <col min="274" max="274" width="16.75" style="3" customWidth="1"/>
    <col min="275" max="275" width="16.5" style="3" customWidth="1"/>
    <col min="276" max="512" width="9" style="3"/>
    <col min="513" max="513" width="1.875" style="3" customWidth="1"/>
    <col min="514" max="514" width="10" style="3" customWidth="1"/>
    <col min="515" max="515" width="9.875" style="3" customWidth="1"/>
    <col min="516" max="516" width="10.875" style="3" customWidth="1"/>
    <col min="517" max="517" width="10.5" style="3" customWidth="1"/>
    <col min="518" max="518" width="11" style="3" customWidth="1"/>
    <col min="519" max="519" width="9" style="3"/>
    <col min="520" max="520" width="10.625" style="3" customWidth="1"/>
    <col min="521" max="521" width="10" style="3" customWidth="1"/>
    <col min="522" max="522" width="9.875" style="3" customWidth="1"/>
    <col min="523" max="523" width="10.875" style="3" customWidth="1"/>
    <col min="524" max="524" width="10.5" style="3" customWidth="1"/>
    <col min="525" max="525" width="11" style="3" customWidth="1"/>
    <col min="526" max="526" width="9" style="3"/>
    <col min="527" max="527" width="10.625" style="3" customWidth="1"/>
    <col min="528" max="528" width="9" style="3"/>
    <col min="529" max="529" width="19.5" style="3" customWidth="1"/>
    <col min="530" max="530" width="16.75" style="3" customWidth="1"/>
    <col min="531" max="531" width="16.5" style="3" customWidth="1"/>
    <col min="532" max="768" width="9" style="3"/>
    <col min="769" max="769" width="1.875" style="3" customWidth="1"/>
    <col min="770" max="770" width="10" style="3" customWidth="1"/>
    <col min="771" max="771" width="9.875" style="3" customWidth="1"/>
    <col min="772" max="772" width="10.875" style="3" customWidth="1"/>
    <col min="773" max="773" width="10.5" style="3" customWidth="1"/>
    <col min="774" max="774" width="11" style="3" customWidth="1"/>
    <col min="775" max="775" width="9" style="3"/>
    <col min="776" max="776" width="10.625" style="3" customWidth="1"/>
    <col min="777" max="777" width="10" style="3" customWidth="1"/>
    <col min="778" max="778" width="9.875" style="3" customWidth="1"/>
    <col min="779" max="779" width="10.875" style="3" customWidth="1"/>
    <col min="780" max="780" width="10.5" style="3" customWidth="1"/>
    <col min="781" max="781" width="11" style="3" customWidth="1"/>
    <col min="782" max="782" width="9" style="3"/>
    <col min="783" max="783" width="10.625" style="3" customWidth="1"/>
    <col min="784" max="784" width="9" style="3"/>
    <col min="785" max="785" width="19.5" style="3" customWidth="1"/>
    <col min="786" max="786" width="16.75" style="3" customWidth="1"/>
    <col min="787" max="787" width="16.5" style="3" customWidth="1"/>
    <col min="788" max="1024" width="9" style="3"/>
    <col min="1025" max="1025" width="1.875" style="3" customWidth="1"/>
    <col min="1026" max="1026" width="10" style="3" customWidth="1"/>
    <col min="1027" max="1027" width="9.875" style="3" customWidth="1"/>
    <col min="1028" max="1028" width="10.875" style="3" customWidth="1"/>
    <col min="1029" max="1029" width="10.5" style="3" customWidth="1"/>
    <col min="1030" max="1030" width="11" style="3" customWidth="1"/>
    <col min="1031" max="1031" width="9" style="3"/>
    <col min="1032" max="1032" width="10.625" style="3" customWidth="1"/>
    <col min="1033" max="1033" width="10" style="3" customWidth="1"/>
    <col min="1034" max="1034" width="9.875" style="3" customWidth="1"/>
    <col min="1035" max="1035" width="10.875" style="3" customWidth="1"/>
    <col min="1036" max="1036" width="10.5" style="3" customWidth="1"/>
    <col min="1037" max="1037" width="11" style="3" customWidth="1"/>
    <col min="1038" max="1038" width="9" style="3"/>
    <col min="1039" max="1039" width="10.625" style="3" customWidth="1"/>
    <col min="1040" max="1040" width="9" style="3"/>
    <col min="1041" max="1041" width="19.5" style="3" customWidth="1"/>
    <col min="1042" max="1042" width="16.75" style="3" customWidth="1"/>
    <col min="1043" max="1043" width="16.5" style="3" customWidth="1"/>
    <col min="1044" max="1280" width="9" style="3"/>
    <col min="1281" max="1281" width="1.875" style="3" customWidth="1"/>
    <col min="1282" max="1282" width="10" style="3" customWidth="1"/>
    <col min="1283" max="1283" width="9.875" style="3" customWidth="1"/>
    <col min="1284" max="1284" width="10.875" style="3" customWidth="1"/>
    <col min="1285" max="1285" width="10.5" style="3" customWidth="1"/>
    <col min="1286" max="1286" width="11" style="3" customWidth="1"/>
    <col min="1287" max="1287" width="9" style="3"/>
    <col min="1288" max="1288" width="10.625" style="3" customWidth="1"/>
    <col min="1289" max="1289" width="10" style="3" customWidth="1"/>
    <col min="1290" max="1290" width="9.875" style="3" customWidth="1"/>
    <col min="1291" max="1291" width="10.875" style="3" customWidth="1"/>
    <col min="1292" max="1292" width="10.5" style="3" customWidth="1"/>
    <col min="1293" max="1293" width="11" style="3" customWidth="1"/>
    <col min="1294" max="1294" width="9" style="3"/>
    <col min="1295" max="1295" width="10.625" style="3" customWidth="1"/>
    <col min="1296" max="1296" width="9" style="3"/>
    <col min="1297" max="1297" width="19.5" style="3" customWidth="1"/>
    <col min="1298" max="1298" width="16.75" style="3" customWidth="1"/>
    <col min="1299" max="1299" width="16.5" style="3" customWidth="1"/>
    <col min="1300" max="1536" width="9" style="3"/>
    <col min="1537" max="1537" width="1.875" style="3" customWidth="1"/>
    <col min="1538" max="1538" width="10" style="3" customWidth="1"/>
    <col min="1539" max="1539" width="9.875" style="3" customWidth="1"/>
    <col min="1540" max="1540" width="10.875" style="3" customWidth="1"/>
    <col min="1541" max="1541" width="10.5" style="3" customWidth="1"/>
    <col min="1542" max="1542" width="11" style="3" customWidth="1"/>
    <col min="1543" max="1543" width="9" style="3"/>
    <col min="1544" max="1544" width="10.625" style="3" customWidth="1"/>
    <col min="1545" max="1545" width="10" style="3" customWidth="1"/>
    <col min="1546" max="1546" width="9.875" style="3" customWidth="1"/>
    <col min="1547" max="1547" width="10.875" style="3" customWidth="1"/>
    <col min="1548" max="1548" width="10.5" style="3" customWidth="1"/>
    <col min="1549" max="1549" width="11" style="3" customWidth="1"/>
    <col min="1550" max="1550" width="9" style="3"/>
    <col min="1551" max="1551" width="10.625" style="3" customWidth="1"/>
    <col min="1552" max="1552" width="9" style="3"/>
    <col min="1553" max="1553" width="19.5" style="3" customWidth="1"/>
    <col min="1554" max="1554" width="16.75" style="3" customWidth="1"/>
    <col min="1555" max="1555" width="16.5" style="3" customWidth="1"/>
    <col min="1556" max="1792" width="9" style="3"/>
    <col min="1793" max="1793" width="1.875" style="3" customWidth="1"/>
    <col min="1794" max="1794" width="10" style="3" customWidth="1"/>
    <col min="1795" max="1795" width="9.875" style="3" customWidth="1"/>
    <col min="1796" max="1796" width="10.875" style="3" customWidth="1"/>
    <col min="1797" max="1797" width="10.5" style="3" customWidth="1"/>
    <col min="1798" max="1798" width="11" style="3" customWidth="1"/>
    <col min="1799" max="1799" width="9" style="3"/>
    <col min="1800" max="1800" width="10.625" style="3" customWidth="1"/>
    <col min="1801" max="1801" width="10" style="3" customWidth="1"/>
    <col min="1802" max="1802" width="9.875" style="3" customWidth="1"/>
    <col min="1803" max="1803" width="10.875" style="3" customWidth="1"/>
    <col min="1804" max="1804" width="10.5" style="3" customWidth="1"/>
    <col min="1805" max="1805" width="11" style="3" customWidth="1"/>
    <col min="1806" max="1806" width="9" style="3"/>
    <col min="1807" max="1807" width="10.625" style="3" customWidth="1"/>
    <col min="1808" max="1808" width="9" style="3"/>
    <col min="1809" max="1809" width="19.5" style="3" customWidth="1"/>
    <col min="1810" max="1810" width="16.75" style="3" customWidth="1"/>
    <col min="1811" max="1811" width="16.5" style="3" customWidth="1"/>
    <col min="1812" max="2048" width="9" style="3"/>
    <col min="2049" max="2049" width="1.875" style="3" customWidth="1"/>
    <col min="2050" max="2050" width="10" style="3" customWidth="1"/>
    <col min="2051" max="2051" width="9.875" style="3" customWidth="1"/>
    <col min="2052" max="2052" width="10.875" style="3" customWidth="1"/>
    <col min="2053" max="2053" width="10.5" style="3" customWidth="1"/>
    <col min="2054" max="2054" width="11" style="3" customWidth="1"/>
    <col min="2055" max="2055" width="9" style="3"/>
    <col min="2056" max="2056" width="10.625" style="3" customWidth="1"/>
    <col min="2057" max="2057" width="10" style="3" customWidth="1"/>
    <col min="2058" max="2058" width="9.875" style="3" customWidth="1"/>
    <col min="2059" max="2059" width="10.875" style="3" customWidth="1"/>
    <col min="2060" max="2060" width="10.5" style="3" customWidth="1"/>
    <col min="2061" max="2061" width="11" style="3" customWidth="1"/>
    <col min="2062" max="2062" width="9" style="3"/>
    <col min="2063" max="2063" width="10.625" style="3" customWidth="1"/>
    <col min="2064" max="2064" width="9" style="3"/>
    <col min="2065" max="2065" width="19.5" style="3" customWidth="1"/>
    <col min="2066" max="2066" width="16.75" style="3" customWidth="1"/>
    <col min="2067" max="2067" width="16.5" style="3" customWidth="1"/>
    <col min="2068" max="2304" width="9" style="3"/>
    <col min="2305" max="2305" width="1.875" style="3" customWidth="1"/>
    <col min="2306" max="2306" width="10" style="3" customWidth="1"/>
    <col min="2307" max="2307" width="9.875" style="3" customWidth="1"/>
    <col min="2308" max="2308" width="10.875" style="3" customWidth="1"/>
    <col min="2309" max="2309" width="10.5" style="3" customWidth="1"/>
    <col min="2310" max="2310" width="11" style="3" customWidth="1"/>
    <col min="2311" max="2311" width="9" style="3"/>
    <col min="2312" max="2312" width="10.625" style="3" customWidth="1"/>
    <col min="2313" max="2313" width="10" style="3" customWidth="1"/>
    <col min="2314" max="2314" width="9.875" style="3" customWidth="1"/>
    <col min="2315" max="2315" width="10.875" style="3" customWidth="1"/>
    <col min="2316" max="2316" width="10.5" style="3" customWidth="1"/>
    <col min="2317" max="2317" width="11" style="3" customWidth="1"/>
    <col min="2318" max="2318" width="9" style="3"/>
    <col min="2319" max="2319" width="10.625" style="3" customWidth="1"/>
    <col min="2320" max="2320" width="9" style="3"/>
    <col min="2321" max="2321" width="19.5" style="3" customWidth="1"/>
    <col min="2322" max="2322" width="16.75" style="3" customWidth="1"/>
    <col min="2323" max="2323" width="16.5" style="3" customWidth="1"/>
    <col min="2324" max="2560" width="9" style="3"/>
    <col min="2561" max="2561" width="1.875" style="3" customWidth="1"/>
    <col min="2562" max="2562" width="10" style="3" customWidth="1"/>
    <col min="2563" max="2563" width="9.875" style="3" customWidth="1"/>
    <col min="2564" max="2564" width="10.875" style="3" customWidth="1"/>
    <col min="2565" max="2565" width="10.5" style="3" customWidth="1"/>
    <col min="2566" max="2566" width="11" style="3" customWidth="1"/>
    <col min="2567" max="2567" width="9" style="3"/>
    <col min="2568" max="2568" width="10.625" style="3" customWidth="1"/>
    <col min="2569" max="2569" width="10" style="3" customWidth="1"/>
    <col min="2570" max="2570" width="9.875" style="3" customWidth="1"/>
    <col min="2571" max="2571" width="10.875" style="3" customWidth="1"/>
    <col min="2572" max="2572" width="10.5" style="3" customWidth="1"/>
    <col min="2573" max="2573" width="11" style="3" customWidth="1"/>
    <col min="2574" max="2574" width="9" style="3"/>
    <col min="2575" max="2575" width="10.625" style="3" customWidth="1"/>
    <col min="2576" max="2576" width="9" style="3"/>
    <col min="2577" max="2577" width="19.5" style="3" customWidth="1"/>
    <col min="2578" max="2578" width="16.75" style="3" customWidth="1"/>
    <col min="2579" max="2579" width="16.5" style="3" customWidth="1"/>
    <col min="2580" max="2816" width="9" style="3"/>
    <col min="2817" max="2817" width="1.875" style="3" customWidth="1"/>
    <col min="2818" max="2818" width="10" style="3" customWidth="1"/>
    <col min="2819" max="2819" width="9.875" style="3" customWidth="1"/>
    <col min="2820" max="2820" width="10.875" style="3" customWidth="1"/>
    <col min="2821" max="2821" width="10.5" style="3" customWidth="1"/>
    <col min="2822" max="2822" width="11" style="3" customWidth="1"/>
    <col min="2823" max="2823" width="9" style="3"/>
    <col min="2824" max="2824" width="10.625" style="3" customWidth="1"/>
    <col min="2825" max="2825" width="10" style="3" customWidth="1"/>
    <col min="2826" max="2826" width="9.875" style="3" customWidth="1"/>
    <col min="2827" max="2827" width="10.875" style="3" customWidth="1"/>
    <col min="2828" max="2828" width="10.5" style="3" customWidth="1"/>
    <col min="2829" max="2829" width="11" style="3" customWidth="1"/>
    <col min="2830" max="2830" width="9" style="3"/>
    <col min="2831" max="2831" width="10.625" style="3" customWidth="1"/>
    <col min="2832" max="2832" width="9" style="3"/>
    <col min="2833" max="2833" width="19.5" style="3" customWidth="1"/>
    <col min="2834" max="2834" width="16.75" style="3" customWidth="1"/>
    <col min="2835" max="2835" width="16.5" style="3" customWidth="1"/>
    <col min="2836" max="3072" width="9" style="3"/>
    <col min="3073" max="3073" width="1.875" style="3" customWidth="1"/>
    <col min="3074" max="3074" width="10" style="3" customWidth="1"/>
    <col min="3075" max="3075" width="9.875" style="3" customWidth="1"/>
    <col min="3076" max="3076" width="10.875" style="3" customWidth="1"/>
    <col min="3077" max="3077" width="10.5" style="3" customWidth="1"/>
    <col min="3078" max="3078" width="11" style="3" customWidth="1"/>
    <col min="3079" max="3079" width="9" style="3"/>
    <col min="3080" max="3080" width="10.625" style="3" customWidth="1"/>
    <col min="3081" max="3081" width="10" style="3" customWidth="1"/>
    <col min="3082" max="3082" width="9.875" style="3" customWidth="1"/>
    <col min="3083" max="3083" width="10.875" style="3" customWidth="1"/>
    <col min="3084" max="3084" width="10.5" style="3" customWidth="1"/>
    <col min="3085" max="3085" width="11" style="3" customWidth="1"/>
    <col min="3086" max="3086" width="9" style="3"/>
    <col min="3087" max="3087" width="10.625" style="3" customWidth="1"/>
    <col min="3088" max="3088" width="9" style="3"/>
    <col min="3089" max="3089" width="19.5" style="3" customWidth="1"/>
    <col min="3090" max="3090" width="16.75" style="3" customWidth="1"/>
    <col min="3091" max="3091" width="16.5" style="3" customWidth="1"/>
    <col min="3092" max="3328" width="9" style="3"/>
    <col min="3329" max="3329" width="1.875" style="3" customWidth="1"/>
    <col min="3330" max="3330" width="10" style="3" customWidth="1"/>
    <col min="3331" max="3331" width="9.875" style="3" customWidth="1"/>
    <col min="3332" max="3332" width="10.875" style="3" customWidth="1"/>
    <col min="3333" max="3333" width="10.5" style="3" customWidth="1"/>
    <col min="3334" max="3334" width="11" style="3" customWidth="1"/>
    <col min="3335" max="3335" width="9" style="3"/>
    <col min="3336" max="3336" width="10.625" style="3" customWidth="1"/>
    <col min="3337" max="3337" width="10" style="3" customWidth="1"/>
    <col min="3338" max="3338" width="9.875" style="3" customWidth="1"/>
    <col min="3339" max="3339" width="10.875" style="3" customWidth="1"/>
    <col min="3340" max="3340" width="10.5" style="3" customWidth="1"/>
    <col min="3341" max="3341" width="11" style="3" customWidth="1"/>
    <col min="3342" max="3342" width="9" style="3"/>
    <col min="3343" max="3343" width="10.625" style="3" customWidth="1"/>
    <col min="3344" max="3344" width="9" style="3"/>
    <col min="3345" max="3345" width="19.5" style="3" customWidth="1"/>
    <col min="3346" max="3346" width="16.75" style="3" customWidth="1"/>
    <col min="3347" max="3347" width="16.5" style="3" customWidth="1"/>
    <col min="3348" max="3584" width="9" style="3"/>
    <col min="3585" max="3585" width="1.875" style="3" customWidth="1"/>
    <col min="3586" max="3586" width="10" style="3" customWidth="1"/>
    <col min="3587" max="3587" width="9.875" style="3" customWidth="1"/>
    <col min="3588" max="3588" width="10.875" style="3" customWidth="1"/>
    <col min="3589" max="3589" width="10.5" style="3" customWidth="1"/>
    <col min="3590" max="3590" width="11" style="3" customWidth="1"/>
    <col min="3591" max="3591" width="9" style="3"/>
    <col min="3592" max="3592" width="10.625" style="3" customWidth="1"/>
    <col min="3593" max="3593" width="10" style="3" customWidth="1"/>
    <col min="3594" max="3594" width="9.875" style="3" customWidth="1"/>
    <col min="3595" max="3595" width="10.875" style="3" customWidth="1"/>
    <col min="3596" max="3596" width="10.5" style="3" customWidth="1"/>
    <col min="3597" max="3597" width="11" style="3" customWidth="1"/>
    <col min="3598" max="3598" width="9" style="3"/>
    <col min="3599" max="3599" width="10.625" style="3" customWidth="1"/>
    <col min="3600" max="3600" width="9" style="3"/>
    <col min="3601" max="3601" width="19.5" style="3" customWidth="1"/>
    <col min="3602" max="3602" width="16.75" style="3" customWidth="1"/>
    <col min="3603" max="3603" width="16.5" style="3" customWidth="1"/>
    <col min="3604" max="3840" width="9" style="3"/>
    <col min="3841" max="3841" width="1.875" style="3" customWidth="1"/>
    <col min="3842" max="3842" width="10" style="3" customWidth="1"/>
    <col min="3843" max="3843" width="9.875" style="3" customWidth="1"/>
    <col min="3844" max="3844" width="10.875" style="3" customWidth="1"/>
    <col min="3845" max="3845" width="10.5" style="3" customWidth="1"/>
    <col min="3846" max="3846" width="11" style="3" customWidth="1"/>
    <col min="3847" max="3847" width="9" style="3"/>
    <col min="3848" max="3848" width="10.625" style="3" customWidth="1"/>
    <col min="3849" max="3849" width="10" style="3" customWidth="1"/>
    <col min="3850" max="3850" width="9.875" style="3" customWidth="1"/>
    <col min="3851" max="3851" width="10.875" style="3" customWidth="1"/>
    <col min="3852" max="3852" width="10.5" style="3" customWidth="1"/>
    <col min="3853" max="3853" width="11" style="3" customWidth="1"/>
    <col min="3854" max="3854" width="9" style="3"/>
    <col min="3855" max="3855" width="10.625" style="3" customWidth="1"/>
    <col min="3856" max="3856" width="9" style="3"/>
    <col min="3857" max="3857" width="19.5" style="3" customWidth="1"/>
    <col min="3858" max="3858" width="16.75" style="3" customWidth="1"/>
    <col min="3859" max="3859" width="16.5" style="3" customWidth="1"/>
    <col min="3860" max="4096" width="9" style="3"/>
    <col min="4097" max="4097" width="1.875" style="3" customWidth="1"/>
    <col min="4098" max="4098" width="10" style="3" customWidth="1"/>
    <col min="4099" max="4099" width="9.875" style="3" customWidth="1"/>
    <col min="4100" max="4100" width="10.875" style="3" customWidth="1"/>
    <col min="4101" max="4101" width="10.5" style="3" customWidth="1"/>
    <col min="4102" max="4102" width="11" style="3" customWidth="1"/>
    <col min="4103" max="4103" width="9" style="3"/>
    <col min="4104" max="4104" width="10.625" style="3" customWidth="1"/>
    <col min="4105" max="4105" width="10" style="3" customWidth="1"/>
    <col min="4106" max="4106" width="9.875" style="3" customWidth="1"/>
    <col min="4107" max="4107" width="10.875" style="3" customWidth="1"/>
    <col min="4108" max="4108" width="10.5" style="3" customWidth="1"/>
    <col min="4109" max="4109" width="11" style="3" customWidth="1"/>
    <col min="4110" max="4110" width="9" style="3"/>
    <col min="4111" max="4111" width="10.625" style="3" customWidth="1"/>
    <col min="4112" max="4112" width="9" style="3"/>
    <col min="4113" max="4113" width="19.5" style="3" customWidth="1"/>
    <col min="4114" max="4114" width="16.75" style="3" customWidth="1"/>
    <col min="4115" max="4115" width="16.5" style="3" customWidth="1"/>
    <col min="4116" max="4352" width="9" style="3"/>
    <col min="4353" max="4353" width="1.875" style="3" customWidth="1"/>
    <col min="4354" max="4354" width="10" style="3" customWidth="1"/>
    <col min="4355" max="4355" width="9.875" style="3" customWidth="1"/>
    <col min="4356" max="4356" width="10.875" style="3" customWidth="1"/>
    <col min="4357" max="4357" width="10.5" style="3" customWidth="1"/>
    <col min="4358" max="4358" width="11" style="3" customWidth="1"/>
    <col min="4359" max="4359" width="9" style="3"/>
    <col min="4360" max="4360" width="10.625" style="3" customWidth="1"/>
    <col min="4361" max="4361" width="10" style="3" customWidth="1"/>
    <col min="4362" max="4362" width="9.875" style="3" customWidth="1"/>
    <col min="4363" max="4363" width="10.875" style="3" customWidth="1"/>
    <col min="4364" max="4364" width="10.5" style="3" customWidth="1"/>
    <col min="4365" max="4365" width="11" style="3" customWidth="1"/>
    <col min="4366" max="4366" width="9" style="3"/>
    <col min="4367" max="4367" width="10.625" style="3" customWidth="1"/>
    <col min="4368" max="4368" width="9" style="3"/>
    <col min="4369" max="4369" width="19.5" style="3" customWidth="1"/>
    <col min="4370" max="4370" width="16.75" style="3" customWidth="1"/>
    <col min="4371" max="4371" width="16.5" style="3" customWidth="1"/>
    <col min="4372" max="4608" width="9" style="3"/>
    <col min="4609" max="4609" width="1.875" style="3" customWidth="1"/>
    <col min="4610" max="4610" width="10" style="3" customWidth="1"/>
    <col min="4611" max="4611" width="9.875" style="3" customWidth="1"/>
    <col min="4612" max="4612" width="10.875" style="3" customWidth="1"/>
    <col min="4613" max="4613" width="10.5" style="3" customWidth="1"/>
    <col min="4614" max="4614" width="11" style="3" customWidth="1"/>
    <col min="4615" max="4615" width="9" style="3"/>
    <col min="4616" max="4616" width="10.625" style="3" customWidth="1"/>
    <col min="4617" max="4617" width="10" style="3" customWidth="1"/>
    <col min="4618" max="4618" width="9.875" style="3" customWidth="1"/>
    <col min="4619" max="4619" width="10.875" style="3" customWidth="1"/>
    <col min="4620" max="4620" width="10.5" style="3" customWidth="1"/>
    <col min="4621" max="4621" width="11" style="3" customWidth="1"/>
    <col min="4622" max="4622" width="9" style="3"/>
    <col min="4623" max="4623" width="10.625" style="3" customWidth="1"/>
    <col min="4624" max="4624" width="9" style="3"/>
    <col min="4625" max="4625" width="19.5" style="3" customWidth="1"/>
    <col min="4626" max="4626" width="16.75" style="3" customWidth="1"/>
    <col min="4627" max="4627" width="16.5" style="3" customWidth="1"/>
    <col min="4628" max="4864" width="9" style="3"/>
    <col min="4865" max="4865" width="1.875" style="3" customWidth="1"/>
    <col min="4866" max="4866" width="10" style="3" customWidth="1"/>
    <col min="4867" max="4867" width="9.875" style="3" customWidth="1"/>
    <col min="4868" max="4868" width="10.875" style="3" customWidth="1"/>
    <col min="4869" max="4869" width="10.5" style="3" customWidth="1"/>
    <col min="4870" max="4870" width="11" style="3" customWidth="1"/>
    <col min="4871" max="4871" width="9" style="3"/>
    <col min="4872" max="4872" width="10.625" style="3" customWidth="1"/>
    <col min="4873" max="4873" width="10" style="3" customWidth="1"/>
    <col min="4874" max="4874" width="9.875" style="3" customWidth="1"/>
    <col min="4875" max="4875" width="10.875" style="3" customWidth="1"/>
    <col min="4876" max="4876" width="10.5" style="3" customWidth="1"/>
    <col min="4877" max="4877" width="11" style="3" customWidth="1"/>
    <col min="4878" max="4878" width="9" style="3"/>
    <col min="4879" max="4879" width="10.625" style="3" customWidth="1"/>
    <col min="4880" max="4880" width="9" style="3"/>
    <col min="4881" max="4881" width="19.5" style="3" customWidth="1"/>
    <col min="4882" max="4882" width="16.75" style="3" customWidth="1"/>
    <col min="4883" max="4883" width="16.5" style="3" customWidth="1"/>
    <col min="4884" max="5120" width="9" style="3"/>
    <col min="5121" max="5121" width="1.875" style="3" customWidth="1"/>
    <col min="5122" max="5122" width="10" style="3" customWidth="1"/>
    <col min="5123" max="5123" width="9.875" style="3" customWidth="1"/>
    <col min="5124" max="5124" width="10.875" style="3" customWidth="1"/>
    <col min="5125" max="5125" width="10.5" style="3" customWidth="1"/>
    <col min="5126" max="5126" width="11" style="3" customWidth="1"/>
    <col min="5127" max="5127" width="9" style="3"/>
    <col min="5128" max="5128" width="10.625" style="3" customWidth="1"/>
    <col min="5129" max="5129" width="10" style="3" customWidth="1"/>
    <col min="5130" max="5130" width="9.875" style="3" customWidth="1"/>
    <col min="5131" max="5131" width="10.875" style="3" customWidth="1"/>
    <col min="5132" max="5132" width="10.5" style="3" customWidth="1"/>
    <col min="5133" max="5133" width="11" style="3" customWidth="1"/>
    <col min="5134" max="5134" width="9" style="3"/>
    <col min="5135" max="5135" width="10.625" style="3" customWidth="1"/>
    <col min="5136" max="5136" width="9" style="3"/>
    <col min="5137" max="5137" width="19.5" style="3" customWidth="1"/>
    <col min="5138" max="5138" width="16.75" style="3" customWidth="1"/>
    <col min="5139" max="5139" width="16.5" style="3" customWidth="1"/>
    <col min="5140" max="5376" width="9" style="3"/>
    <col min="5377" max="5377" width="1.875" style="3" customWidth="1"/>
    <col min="5378" max="5378" width="10" style="3" customWidth="1"/>
    <col min="5379" max="5379" width="9.875" style="3" customWidth="1"/>
    <col min="5380" max="5380" width="10.875" style="3" customWidth="1"/>
    <col min="5381" max="5381" width="10.5" style="3" customWidth="1"/>
    <col min="5382" max="5382" width="11" style="3" customWidth="1"/>
    <col min="5383" max="5383" width="9" style="3"/>
    <col min="5384" max="5384" width="10.625" style="3" customWidth="1"/>
    <col min="5385" max="5385" width="10" style="3" customWidth="1"/>
    <col min="5386" max="5386" width="9.875" style="3" customWidth="1"/>
    <col min="5387" max="5387" width="10.875" style="3" customWidth="1"/>
    <col min="5388" max="5388" width="10.5" style="3" customWidth="1"/>
    <col min="5389" max="5389" width="11" style="3" customWidth="1"/>
    <col min="5390" max="5390" width="9" style="3"/>
    <col min="5391" max="5391" width="10.625" style="3" customWidth="1"/>
    <col min="5392" max="5392" width="9" style="3"/>
    <col min="5393" max="5393" width="19.5" style="3" customWidth="1"/>
    <col min="5394" max="5394" width="16.75" style="3" customWidth="1"/>
    <col min="5395" max="5395" width="16.5" style="3" customWidth="1"/>
    <col min="5396" max="5632" width="9" style="3"/>
    <col min="5633" max="5633" width="1.875" style="3" customWidth="1"/>
    <col min="5634" max="5634" width="10" style="3" customWidth="1"/>
    <col min="5635" max="5635" width="9.875" style="3" customWidth="1"/>
    <col min="5636" max="5636" width="10.875" style="3" customWidth="1"/>
    <col min="5637" max="5637" width="10.5" style="3" customWidth="1"/>
    <col min="5638" max="5638" width="11" style="3" customWidth="1"/>
    <col min="5639" max="5639" width="9" style="3"/>
    <col min="5640" max="5640" width="10.625" style="3" customWidth="1"/>
    <col min="5641" max="5641" width="10" style="3" customWidth="1"/>
    <col min="5642" max="5642" width="9.875" style="3" customWidth="1"/>
    <col min="5643" max="5643" width="10.875" style="3" customWidth="1"/>
    <col min="5644" max="5644" width="10.5" style="3" customWidth="1"/>
    <col min="5645" max="5645" width="11" style="3" customWidth="1"/>
    <col min="5646" max="5646" width="9" style="3"/>
    <col min="5647" max="5647" width="10.625" style="3" customWidth="1"/>
    <col min="5648" max="5648" width="9" style="3"/>
    <col min="5649" max="5649" width="19.5" style="3" customWidth="1"/>
    <col min="5650" max="5650" width="16.75" style="3" customWidth="1"/>
    <col min="5651" max="5651" width="16.5" style="3" customWidth="1"/>
    <col min="5652" max="5888" width="9" style="3"/>
    <col min="5889" max="5889" width="1.875" style="3" customWidth="1"/>
    <col min="5890" max="5890" width="10" style="3" customWidth="1"/>
    <col min="5891" max="5891" width="9.875" style="3" customWidth="1"/>
    <col min="5892" max="5892" width="10.875" style="3" customWidth="1"/>
    <col min="5893" max="5893" width="10.5" style="3" customWidth="1"/>
    <col min="5894" max="5894" width="11" style="3" customWidth="1"/>
    <col min="5895" max="5895" width="9" style="3"/>
    <col min="5896" max="5896" width="10.625" style="3" customWidth="1"/>
    <col min="5897" max="5897" width="10" style="3" customWidth="1"/>
    <col min="5898" max="5898" width="9.875" style="3" customWidth="1"/>
    <col min="5899" max="5899" width="10.875" style="3" customWidth="1"/>
    <col min="5900" max="5900" width="10.5" style="3" customWidth="1"/>
    <col min="5901" max="5901" width="11" style="3" customWidth="1"/>
    <col min="5902" max="5902" width="9" style="3"/>
    <col min="5903" max="5903" width="10.625" style="3" customWidth="1"/>
    <col min="5904" max="5904" width="9" style="3"/>
    <col min="5905" max="5905" width="19.5" style="3" customWidth="1"/>
    <col min="5906" max="5906" width="16.75" style="3" customWidth="1"/>
    <col min="5907" max="5907" width="16.5" style="3" customWidth="1"/>
    <col min="5908" max="6144" width="9" style="3"/>
    <col min="6145" max="6145" width="1.875" style="3" customWidth="1"/>
    <col min="6146" max="6146" width="10" style="3" customWidth="1"/>
    <col min="6147" max="6147" width="9.875" style="3" customWidth="1"/>
    <col min="6148" max="6148" width="10.875" style="3" customWidth="1"/>
    <col min="6149" max="6149" width="10.5" style="3" customWidth="1"/>
    <col min="6150" max="6150" width="11" style="3" customWidth="1"/>
    <col min="6151" max="6151" width="9" style="3"/>
    <col min="6152" max="6152" width="10.625" style="3" customWidth="1"/>
    <col min="6153" max="6153" width="10" style="3" customWidth="1"/>
    <col min="6154" max="6154" width="9.875" style="3" customWidth="1"/>
    <col min="6155" max="6155" width="10.875" style="3" customWidth="1"/>
    <col min="6156" max="6156" width="10.5" style="3" customWidth="1"/>
    <col min="6157" max="6157" width="11" style="3" customWidth="1"/>
    <col min="6158" max="6158" width="9" style="3"/>
    <col min="6159" max="6159" width="10.625" style="3" customWidth="1"/>
    <col min="6160" max="6160" width="9" style="3"/>
    <col min="6161" max="6161" width="19.5" style="3" customWidth="1"/>
    <col min="6162" max="6162" width="16.75" style="3" customWidth="1"/>
    <col min="6163" max="6163" width="16.5" style="3" customWidth="1"/>
    <col min="6164" max="6400" width="9" style="3"/>
    <col min="6401" max="6401" width="1.875" style="3" customWidth="1"/>
    <col min="6402" max="6402" width="10" style="3" customWidth="1"/>
    <col min="6403" max="6403" width="9.875" style="3" customWidth="1"/>
    <col min="6404" max="6404" width="10.875" style="3" customWidth="1"/>
    <col min="6405" max="6405" width="10.5" style="3" customWidth="1"/>
    <col min="6406" max="6406" width="11" style="3" customWidth="1"/>
    <col min="6407" max="6407" width="9" style="3"/>
    <col min="6408" max="6408" width="10.625" style="3" customWidth="1"/>
    <col min="6409" max="6409" width="10" style="3" customWidth="1"/>
    <col min="6410" max="6410" width="9.875" style="3" customWidth="1"/>
    <col min="6411" max="6411" width="10.875" style="3" customWidth="1"/>
    <col min="6412" max="6412" width="10.5" style="3" customWidth="1"/>
    <col min="6413" max="6413" width="11" style="3" customWidth="1"/>
    <col min="6414" max="6414" width="9" style="3"/>
    <col min="6415" max="6415" width="10.625" style="3" customWidth="1"/>
    <col min="6416" max="6416" width="9" style="3"/>
    <col min="6417" max="6417" width="19.5" style="3" customWidth="1"/>
    <col min="6418" max="6418" width="16.75" style="3" customWidth="1"/>
    <col min="6419" max="6419" width="16.5" style="3" customWidth="1"/>
    <col min="6420" max="6656" width="9" style="3"/>
    <col min="6657" max="6657" width="1.875" style="3" customWidth="1"/>
    <col min="6658" max="6658" width="10" style="3" customWidth="1"/>
    <col min="6659" max="6659" width="9.875" style="3" customWidth="1"/>
    <col min="6660" max="6660" width="10.875" style="3" customWidth="1"/>
    <col min="6661" max="6661" width="10.5" style="3" customWidth="1"/>
    <col min="6662" max="6662" width="11" style="3" customWidth="1"/>
    <col min="6663" max="6663" width="9" style="3"/>
    <col min="6664" max="6664" width="10.625" style="3" customWidth="1"/>
    <col min="6665" max="6665" width="10" style="3" customWidth="1"/>
    <col min="6666" max="6666" width="9.875" style="3" customWidth="1"/>
    <col min="6667" max="6667" width="10.875" style="3" customWidth="1"/>
    <col min="6668" max="6668" width="10.5" style="3" customWidth="1"/>
    <col min="6669" max="6669" width="11" style="3" customWidth="1"/>
    <col min="6670" max="6670" width="9" style="3"/>
    <col min="6671" max="6671" width="10.625" style="3" customWidth="1"/>
    <col min="6672" max="6672" width="9" style="3"/>
    <col min="6673" max="6673" width="19.5" style="3" customWidth="1"/>
    <col min="6674" max="6674" width="16.75" style="3" customWidth="1"/>
    <col min="6675" max="6675" width="16.5" style="3" customWidth="1"/>
    <col min="6676" max="6912" width="9" style="3"/>
    <col min="6913" max="6913" width="1.875" style="3" customWidth="1"/>
    <col min="6914" max="6914" width="10" style="3" customWidth="1"/>
    <col min="6915" max="6915" width="9.875" style="3" customWidth="1"/>
    <col min="6916" max="6916" width="10.875" style="3" customWidth="1"/>
    <col min="6917" max="6917" width="10.5" style="3" customWidth="1"/>
    <col min="6918" max="6918" width="11" style="3" customWidth="1"/>
    <col min="6919" max="6919" width="9" style="3"/>
    <col min="6920" max="6920" width="10.625" style="3" customWidth="1"/>
    <col min="6921" max="6921" width="10" style="3" customWidth="1"/>
    <col min="6922" max="6922" width="9.875" style="3" customWidth="1"/>
    <col min="6923" max="6923" width="10.875" style="3" customWidth="1"/>
    <col min="6924" max="6924" width="10.5" style="3" customWidth="1"/>
    <col min="6925" max="6925" width="11" style="3" customWidth="1"/>
    <col min="6926" max="6926" width="9" style="3"/>
    <col min="6927" max="6927" width="10.625" style="3" customWidth="1"/>
    <col min="6928" max="6928" width="9" style="3"/>
    <col min="6929" max="6929" width="19.5" style="3" customWidth="1"/>
    <col min="6930" max="6930" width="16.75" style="3" customWidth="1"/>
    <col min="6931" max="6931" width="16.5" style="3" customWidth="1"/>
    <col min="6932" max="7168" width="9" style="3"/>
    <col min="7169" max="7169" width="1.875" style="3" customWidth="1"/>
    <col min="7170" max="7170" width="10" style="3" customWidth="1"/>
    <col min="7171" max="7171" width="9.875" style="3" customWidth="1"/>
    <col min="7172" max="7172" width="10.875" style="3" customWidth="1"/>
    <col min="7173" max="7173" width="10.5" style="3" customWidth="1"/>
    <col min="7174" max="7174" width="11" style="3" customWidth="1"/>
    <col min="7175" max="7175" width="9" style="3"/>
    <col min="7176" max="7176" width="10.625" style="3" customWidth="1"/>
    <col min="7177" max="7177" width="10" style="3" customWidth="1"/>
    <col min="7178" max="7178" width="9.875" style="3" customWidth="1"/>
    <col min="7179" max="7179" width="10.875" style="3" customWidth="1"/>
    <col min="7180" max="7180" width="10.5" style="3" customWidth="1"/>
    <col min="7181" max="7181" width="11" style="3" customWidth="1"/>
    <col min="7182" max="7182" width="9" style="3"/>
    <col min="7183" max="7183" width="10.625" style="3" customWidth="1"/>
    <col min="7184" max="7184" width="9" style="3"/>
    <col min="7185" max="7185" width="19.5" style="3" customWidth="1"/>
    <col min="7186" max="7186" width="16.75" style="3" customWidth="1"/>
    <col min="7187" max="7187" width="16.5" style="3" customWidth="1"/>
    <col min="7188" max="7424" width="9" style="3"/>
    <col min="7425" max="7425" width="1.875" style="3" customWidth="1"/>
    <col min="7426" max="7426" width="10" style="3" customWidth="1"/>
    <col min="7427" max="7427" width="9.875" style="3" customWidth="1"/>
    <col min="7428" max="7428" width="10.875" style="3" customWidth="1"/>
    <col min="7429" max="7429" width="10.5" style="3" customWidth="1"/>
    <col min="7430" max="7430" width="11" style="3" customWidth="1"/>
    <col min="7431" max="7431" width="9" style="3"/>
    <col min="7432" max="7432" width="10.625" style="3" customWidth="1"/>
    <col min="7433" max="7433" width="10" style="3" customWidth="1"/>
    <col min="7434" max="7434" width="9.875" style="3" customWidth="1"/>
    <col min="7435" max="7435" width="10.875" style="3" customWidth="1"/>
    <col min="7436" max="7436" width="10.5" style="3" customWidth="1"/>
    <col min="7437" max="7437" width="11" style="3" customWidth="1"/>
    <col min="7438" max="7438" width="9" style="3"/>
    <col min="7439" max="7439" width="10.625" style="3" customWidth="1"/>
    <col min="7440" max="7440" width="9" style="3"/>
    <col min="7441" max="7441" width="19.5" style="3" customWidth="1"/>
    <col min="7442" max="7442" width="16.75" style="3" customWidth="1"/>
    <col min="7443" max="7443" width="16.5" style="3" customWidth="1"/>
    <col min="7444" max="7680" width="9" style="3"/>
    <col min="7681" max="7681" width="1.875" style="3" customWidth="1"/>
    <col min="7682" max="7682" width="10" style="3" customWidth="1"/>
    <col min="7683" max="7683" width="9.875" style="3" customWidth="1"/>
    <col min="7684" max="7684" width="10.875" style="3" customWidth="1"/>
    <col min="7685" max="7685" width="10.5" style="3" customWidth="1"/>
    <col min="7686" max="7686" width="11" style="3" customWidth="1"/>
    <col min="7687" max="7687" width="9" style="3"/>
    <col min="7688" max="7688" width="10.625" style="3" customWidth="1"/>
    <col min="7689" max="7689" width="10" style="3" customWidth="1"/>
    <col min="7690" max="7690" width="9.875" style="3" customWidth="1"/>
    <col min="7691" max="7691" width="10.875" style="3" customWidth="1"/>
    <col min="7692" max="7692" width="10.5" style="3" customWidth="1"/>
    <col min="7693" max="7693" width="11" style="3" customWidth="1"/>
    <col min="7694" max="7694" width="9" style="3"/>
    <col min="7695" max="7695" width="10.625" style="3" customWidth="1"/>
    <col min="7696" max="7696" width="9" style="3"/>
    <col min="7697" max="7697" width="19.5" style="3" customWidth="1"/>
    <col min="7698" max="7698" width="16.75" style="3" customWidth="1"/>
    <col min="7699" max="7699" width="16.5" style="3" customWidth="1"/>
    <col min="7700" max="7936" width="9" style="3"/>
    <col min="7937" max="7937" width="1.875" style="3" customWidth="1"/>
    <col min="7938" max="7938" width="10" style="3" customWidth="1"/>
    <col min="7939" max="7939" width="9.875" style="3" customWidth="1"/>
    <col min="7940" max="7940" width="10.875" style="3" customWidth="1"/>
    <col min="7941" max="7941" width="10.5" style="3" customWidth="1"/>
    <col min="7942" max="7942" width="11" style="3" customWidth="1"/>
    <col min="7943" max="7943" width="9" style="3"/>
    <col min="7944" max="7944" width="10.625" style="3" customWidth="1"/>
    <col min="7945" max="7945" width="10" style="3" customWidth="1"/>
    <col min="7946" max="7946" width="9.875" style="3" customWidth="1"/>
    <col min="7947" max="7947" width="10.875" style="3" customWidth="1"/>
    <col min="7948" max="7948" width="10.5" style="3" customWidth="1"/>
    <col min="7949" max="7949" width="11" style="3" customWidth="1"/>
    <col min="7950" max="7950" width="9" style="3"/>
    <col min="7951" max="7951" width="10.625" style="3" customWidth="1"/>
    <col min="7952" max="7952" width="9" style="3"/>
    <col min="7953" max="7953" width="19.5" style="3" customWidth="1"/>
    <col min="7954" max="7954" width="16.75" style="3" customWidth="1"/>
    <col min="7955" max="7955" width="16.5" style="3" customWidth="1"/>
    <col min="7956" max="8192" width="9" style="3"/>
    <col min="8193" max="8193" width="1.875" style="3" customWidth="1"/>
    <col min="8194" max="8194" width="10" style="3" customWidth="1"/>
    <col min="8195" max="8195" width="9.875" style="3" customWidth="1"/>
    <col min="8196" max="8196" width="10.875" style="3" customWidth="1"/>
    <col min="8197" max="8197" width="10.5" style="3" customWidth="1"/>
    <col min="8198" max="8198" width="11" style="3" customWidth="1"/>
    <col min="8199" max="8199" width="9" style="3"/>
    <col min="8200" max="8200" width="10.625" style="3" customWidth="1"/>
    <col min="8201" max="8201" width="10" style="3" customWidth="1"/>
    <col min="8202" max="8202" width="9.875" style="3" customWidth="1"/>
    <col min="8203" max="8203" width="10.875" style="3" customWidth="1"/>
    <col min="8204" max="8204" width="10.5" style="3" customWidth="1"/>
    <col min="8205" max="8205" width="11" style="3" customWidth="1"/>
    <col min="8206" max="8206" width="9" style="3"/>
    <col min="8207" max="8207" width="10.625" style="3" customWidth="1"/>
    <col min="8208" max="8208" width="9" style="3"/>
    <col min="8209" max="8209" width="19.5" style="3" customWidth="1"/>
    <col min="8210" max="8210" width="16.75" style="3" customWidth="1"/>
    <col min="8211" max="8211" width="16.5" style="3" customWidth="1"/>
    <col min="8212" max="8448" width="9" style="3"/>
    <col min="8449" max="8449" width="1.875" style="3" customWidth="1"/>
    <col min="8450" max="8450" width="10" style="3" customWidth="1"/>
    <col min="8451" max="8451" width="9.875" style="3" customWidth="1"/>
    <col min="8452" max="8452" width="10.875" style="3" customWidth="1"/>
    <col min="8453" max="8453" width="10.5" style="3" customWidth="1"/>
    <col min="8454" max="8454" width="11" style="3" customWidth="1"/>
    <col min="8455" max="8455" width="9" style="3"/>
    <col min="8456" max="8456" width="10.625" style="3" customWidth="1"/>
    <col min="8457" max="8457" width="10" style="3" customWidth="1"/>
    <col min="8458" max="8458" width="9.875" style="3" customWidth="1"/>
    <col min="8459" max="8459" width="10.875" style="3" customWidth="1"/>
    <col min="8460" max="8460" width="10.5" style="3" customWidth="1"/>
    <col min="8461" max="8461" width="11" style="3" customWidth="1"/>
    <col min="8462" max="8462" width="9" style="3"/>
    <col min="8463" max="8463" width="10.625" style="3" customWidth="1"/>
    <col min="8464" max="8464" width="9" style="3"/>
    <col min="8465" max="8465" width="19.5" style="3" customWidth="1"/>
    <col min="8466" max="8466" width="16.75" style="3" customWidth="1"/>
    <col min="8467" max="8467" width="16.5" style="3" customWidth="1"/>
    <col min="8468" max="8704" width="9" style="3"/>
    <col min="8705" max="8705" width="1.875" style="3" customWidth="1"/>
    <col min="8706" max="8706" width="10" style="3" customWidth="1"/>
    <col min="8707" max="8707" width="9.875" style="3" customWidth="1"/>
    <col min="8708" max="8708" width="10.875" style="3" customWidth="1"/>
    <col min="8709" max="8709" width="10.5" style="3" customWidth="1"/>
    <col min="8710" max="8710" width="11" style="3" customWidth="1"/>
    <col min="8711" max="8711" width="9" style="3"/>
    <col min="8712" max="8712" width="10.625" style="3" customWidth="1"/>
    <col min="8713" max="8713" width="10" style="3" customWidth="1"/>
    <col min="8714" max="8714" width="9.875" style="3" customWidth="1"/>
    <col min="8715" max="8715" width="10.875" style="3" customWidth="1"/>
    <col min="8716" max="8716" width="10.5" style="3" customWidth="1"/>
    <col min="8717" max="8717" width="11" style="3" customWidth="1"/>
    <col min="8718" max="8718" width="9" style="3"/>
    <col min="8719" max="8719" width="10.625" style="3" customWidth="1"/>
    <col min="8720" max="8720" width="9" style="3"/>
    <col min="8721" max="8721" width="19.5" style="3" customWidth="1"/>
    <col min="8722" max="8722" width="16.75" style="3" customWidth="1"/>
    <col min="8723" max="8723" width="16.5" style="3" customWidth="1"/>
    <col min="8724" max="8960" width="9" style="3"/>
    <col min="8961" max="8961" width="1.875" style="3" customWidth="1"/>
    <col min="8962" max="8962" width="10" style="3" customWidth="1"/>
    <col min="8963" max="8963" width="9.875" style="3" customWidth="1"/>
    <col min="8964" max="8964" width="10.875" style="3" customWidth="1"/>
    <col min="8965" max="8965" width="10.5" style="3" customWidth="1"/>
    <col min="8966" max="8966" width="11" style="3" customWidth="1"/>
    <col min="8967" max="8967" width="9" style="3"/>
    <col min="8968" max="8968" width="10.625" style="3" customWidth="1"/>
    <col min="8969" max="8969" width="10" style="3" customWidth="1"/>
    <col min="8970" max="8970" width="9.875" style="3" customWidth="1"/>
    <col min="8971" max="8971" width="10.875" style="3" customWidth="1"/>
    <col min="8972" max="8972" width="10.5" style="3" customWidth="1"/>
    <col min="8973" max="8973" width="11" style="3" customWidth="1"/>
    <col min="8974" max="8974" width="9" style="3"/>
    <col min="8975" max="8975" width="10.625" style="3" customWidth="1"/>
    <col min="8976" max="8976" width="9" style="3"/>
    <col min="8977" max="8977" width="19.5" style="3" customWidth="1"/>
    <col min="8978" max="8978" width="16.75" style="3" customWidth="1"/>
    <col min="8979" max="8979" width="16.5" style="3" customWidth="1"/>
    <col min="8980" max="9216" width="9" style="3"/>
    <col min="9217" max="9217" width="1.875" style="3" customWidth="1"/>
    <col min="9218" max="9218" width="10" style="3" customWidth="1"/>
    <col min="9219" max="9219" width="9.875" style="3" customWidth="1"/>
    <col min="9220" max="9220" width="10.875" style="3" customWidth="1"/>
    <col min="9221" max="9221" width="10.5" style="3" customWidth="1"/>
    <col min="9222" max="9222" width="11" style="3" customWidth="1"/>
    <col min="9223" max="9223" width="9" style="3"/>
    <col min="9224" max="9224" width="10.625" style="3" customWidth="1"/>
    <col min="9225" max="9225" width="10" style="3" customWidth="1"/>
    <col min="9226" max="9226" width="9.875" style="3" customWidth="1"/>
    <col min="9227" max="9227" width="10.875" style="3" customWidth="1"/>
    <col min="9228" max="9228" width="10.5" style="3" customWidth="1"/>
    <col min="9229" max="9229" width="11" style="3" customWidth="1"/>
    <col min="9230" max="9230" width="9" style="3"/>
    <col min="9231" max="9231" width="10.625" style="3" customWidth="1"/>
    <col min="9232" max="9232" width="9" style="3"/>
    <col min="9233" max="9233" width="19.5" style="3" customWidth="1"/>
    <col min="9234" max="9234" width="16.75" style="3" customWidth="1"/>
    <col min="9235" max="9235" width="16.5" style="3" customWidth="1"/>
    <col min="9236" max="9472" width="9" style="3"/>
    <col min="9473" max="9473" width="1.875" style="3" customWidth="1"/>
    <col min="9474" max="9474" width="10" style="3" customWidth="1"/>
    <col min="9475" max="9475" width="9.875" style="3" customWidth="1"/>
    <col min="9476" max="9476" width="10.875" style="3" customWidth="1"/>
    <col min="9477" max="9477" width="10.5" style="3" customWidth="1"/>
    <col min="9478" max="9478" width="11" style="3" customWidth="1"/>
    <col min="9479" max="9479" width="9" style="3"/>
    <col min="9480" max="9480" width="10.625" style="3" customWidth="1"/>
    <col min="9481" max="9481" width="10" style="3" customWidth="1"/>
    <col min="9482" max="9482" width="9.875" style="3" customWidth="1"/>
    <col min="9483" max="9483" width="10.875" style="3" customWidth="1"/>
    <col min="9484" max="9484" width="10.5" style="3" customWidth="1"/>
    <col min="9485" max="9485" width="11" style="3" customWidth="1"/>
    <col min="9486" max="9486" width="9" style="3"/>
    <col min="9487" max="9487" width="10.625" style="3" customWidth="1"/>
    <col min="9488" max="9488" width="9" style="3"/>
    <col min="9489" max="9489" width="19.5" style="3" customWidth="1"/>
    <col min="9490" max="9490" width="16.75" style="3" customWidth="1"/>
    <col min="9491" max="9491" width="16.5" style="3" customWidth="1"/>
    <col min="9492" max="9728" width="9" style="3"/>
    <col min="9729" max="9729" width="1.875" style="3" customWidth="1"/>
    <col min="9730" max="9730" width="10" style="3" customWidth="1"/>
    <col min="9731" max="9731" width="9.875" style="3" customWidth="1"/>
    <col min="9732" max="9732" width="10.875" style="3" customWidth="1"/>
    <col min="9733" max="9733" width="10.5" style="3" customWidth="1"/>
    <col min="9734" max="9734" width="11" style="3" customWidth="1"/>
    <col min="9735" max="9735" width="9" style="3"/>
    <col min="9736" max="9736" width="10.625" style="3" customWidth="1"/>
    <col min="9737" max="9737" width="10" style="3" customWidth="1"/>
    <col min="9738" max="9738" width="9.875" style="3" customWidth="1"/>
    <col min="9739" max="9739" width="10.875" style="3" customWidth="1"/>
    <col min="9740" max="9740" width="10.5" style="3" customWidth="1"/>
    <col min="9741" max="9741" width="11" style="3" customWidth="1"/>
    <col min="9742" max="9742" width="9" style="3"/>
    <col min="9743" max="9743" width="10.625" style="3" customWidth="1"/>
    <col min="9744" max="9744" width="9" style="3"/>
    <col min="9745" max="9745" width="19.5" style="3" customWidth="1"/>
    <col min="9746" max="9746" width="16.75" style="3" customWidth="1"/>
    <col min="9747" max="9747" width="16.5" style="3" customWidth="1"/>
    <col min="9748" max="9984" width="9" style="3"/>
    <col min="9985" max="9985" width="1.875" style="3" customWidth="1"/>
    <col min="9986" max="9986" width="10" style="3" customWidth="1"/>
    <col min="9987" max="9987" width="9.875" style="3" customWidth="1"/>
    <col min="9988" max="9988" width="10.875" style="3" customWidth="1"/>
    <col min="9989" max="9989" width="10.5" style="3" customWidth="1"/>
    <col min="9990" max="9990" width="11" style="3" customWidth="1"/>
    <col min="9991" max="9991" width="9" style="3"/>
    <col min="9992" max="9992" width="10.625" style="3" customWidth="1"/>
    <col min="9993" max="9993" width="10" style="3" customWidth="1"/>
    <col min="9994" max="9994" width="9.875" style="3" customWidth="1"/>
    <col min="9995" max="9995" width="10.875" style="3" customWidth="1"/>
    <col min="9996" max="9996" width="10.5" style="3" customWidth="1"/>
    <col min="9997" max="9997" width="11" style="3" customWidth="1"/>
    <col min="9998" max="9998" width="9" style="3"/>
    <col min="9999" max="9999" width="10.625" style="3" customWidth="1"/>
    <col min="10000" max="10000" width="9" style="3"/>
    <col min="10001" max="10001" width="19.5" style="3" customWidth="1"/>
    <col min="10002" max="10002" width="16.75" style="3" customWidth="1"/>
    <col min="10003" max="10003" width="16.5" style="3" customWidth="1"/>
    <col min="10004" max="10240" width="9" style="3"/>
    <col min="10241" max="10241" width="1.875" style="3" customWidth="1"/>
    <col min="10242" max="10242" width="10" style="3" customWidth="1"/>
    <col min="10243" max="10243" width="9.875" style="3" customWidth="1"/>
    <col min="10244" max="10244" width="10.875" style="3" customWidth="1"/>
    <col min="10245" max="10245" width="10.5" style="3" customWidth="1"/>
    <col min="10246" max="10246" width="11" style="3" customWidth="1"/>
    <col min="10247" max="10247" width="9" style="3"/>
    <col min="10248" max="10248" width="10.625" style="3" customWidth="1"/>
    <col min="10249" max="10249" width="10" style="3" customWidth="1"/>
    <col min="10250" max="10250" width="9.875" style="3" customWidth="1"/>
    <col min="10251" max="10251" width="10.875" style="3" customWidth="1"/>
    <col min="10252" max="10252" width="10.5" style="3" customWidth="1"/>
    <col min="10253" max="10253" width="11" style="3" customWidth="1"/>
    <col min="10254" max="10254" width="9" style="3"/>
    <col min="10255" max="10255" width="10.625" style="3" customWidth="1"/>
    <col min="10256" max="10256" width="9" style="3"/>
    <col min="10257" max="10257" width="19.5" style="3" customWidth="1"/>
    <col min="10258" max="10258" width="16.75" style="3" customWidth="1"/>
    <col min="10259" max="10259" width="16.5" style="3" customWidth="1"/>
    <col min="10260" max="10496" width="9" style="3"/>
    <col min="10497" max="10497" width="1.875" style="3" customWidth="1"/>
    <col min="10498" max="10498" width="10" style="3" customWidth="1"/>
    <col min="10499" max="10499" width="9.875" style="3" customWidth="1"/>
    <col min="10500" max="10500" width="10.875" style="3" customWidth="1"/>
    <col min="10501" max="10501" width="10.5" style="3" customWidth="1"/>
    <col min="10502" max="10502" width="11" style="3" customWidth="1"/>
    <col min="10503" max="10503" width="9" style="3"/>
    <col min="10504" max="10504" width="10.625" style="3" customWidth="1"/>
    <col min="10505" max="10505" width="10" style="3" customWidth="1"/>
    <col min="10506" max="10506" width="9.875" style="3" customWidth="1"/>
    <col min="10507" max="10507" width="10.875" style="3" customWidth="1"/>
    <col min="10508" max="10508" width="10.5" style="3" customWidth="1"/>
    <col min="10509" max="10509" width="11" style="3" customWidth="1"/>
    <col min="10510" max="10510" width="9" style="3"/>
    <col min="10511" max="10511" width="10.625" style="3" customWidth="1"/>
    <col min="10512" max="10512" width="9" style="3"/>
    <col min="10513" max="10513" width="19.5" style="3" customWidth="1"/>
    <col min="10514" max="10514" width="16.75" style="3" customWidth="1"/>
    <col min="10515" max="10515" width="16.5" style="3" customWidth="1"/>
    <col min="10516" max="10752" width="9" style="3"/>
    <col min="10753" max="10753" width="1.875" style="3" customWidth="1"/>
    <col min="10754" max="10754" width="10" style="3" customWidth="1"/>
    <col min="10755" max="10755" width="9.875" style="3" customWidth="1"/>
    <col min="10756" max="10756" width="10.875" style="3" customWidth="1"/>
    <col min="10757" max="10757" width="10.5" style="3" customWidth="1"/>
    <col min="10758" max="10758" width="11" style="3" customWidth="1"/>
    <col min="10759" max="10759" width="9" style="3"/>
    <col min="10760" max="10760" width="10.625" style="3" customWidth="1"/>
    <col min="10761" max="10761" width="10" style="3" customWidth="1"/>
    <col min="10762" max="10762" width="9.875" style="3" customWidth="1"/>
    <col min="10763" max="10763" width="10.875" style="3" customWidth="1"/>
    <col min="10764" max="10764" width="10.5" style="3" customWidth="1"/>
    <col min="10765" max="10765" width="11" style="3" customWidth="1"/>
    <col min="10766" max="10766" width="9" style="3"/>
    <col min="10767" max="10767" width="10.625" style="3" customWidth="1"/>
    <col min="10768" max="10768" width="9" style="3"/>
    <col min="10769" max="10769" width="19.5" style="3" customWidth="1"/>
    <col min="10770" max="10770" width="16.75" style="3" customWidth="1"/>
    <col min="10771" max="10771" width="16.5" style="3" customWidth="1"/>
    <col min="10772" max="11008" width="9" style="3"/>
    <col min="11009" max="11009" width="1.875" style="3" customWidth="1"/>
    <col min="11010" max="11010" width="10" style="3" customWidth="1"/>
    <col min="11011" max="11011" width="9.875" style="3" customWidth="1"/>
    <col min="11012" max="11012" width="10.875" style="3" customWidth="1"/>
    <col min="11013" max="11013" width="10.5" style="3" customWidth="1"/>
    <col min="11014" max="11014" width="11" style="3" customWidth="1"/>
    <col min="11015" max="11015" width="9" style="3"/>
    <col min="11016" max="11016" width="10.625" style="3" customWidth="1"/>
    <col min="11017" max="11017" width="10" style="3" customWidth="1"/>
    <col min="11018" max="11018" width="9.875" style="3" customWidth="1"/>
    <col min="11019" max="11019" width="10.875" style="3" customWidth="1"/>
    <col min="11020" max="11020" width="10.5" style="3" customWidth="1"/>
    <col min="11021" max="11021" width="11" style="3" customWidth="1"/>
    <col min="11022" max="11022" width="9" style="3"/>
    <col min="11023" max="11023" width="10.625" style="3" customWidth="1"/>
    <col min="11024" max="11024" width="9" style="3"/>
    <col min="11025" max="11025" width="19.5" style="3" customWidth="1"/>
    <col min="11026" max="11026" width="16.75" style="3" customWidth="1"/>
    <col min="11027" max="11027" width="16.5" style="3" customWidth="1"/>
    <col min="11028" max="11264" width="9" style="3"/>
    <col min="11265" max="11265" width="1.875" style="3" customWidth="1"/>
    <col min="11266" max="11266" width="10" style="3" customWidth="1"/>
    <col min="11267" max="11267" width="9.875" style="3" customWidth="1"/>
    <col min="11268" max="11268" width="10.875" style="3" customWidth="1"/>
    <col min="11269" max="11269" width="10.5" style="3" customWidth="1"/>
    <col min="11270" max="11270" width="11" style="3" customWidth="1"/>
    <col min="11271" max="11271" width="9" style="3"/>
    <col min="11272" max="11272" width="10.625" style="3" customWidth="1"/>
    <col min="11273" max="11273" width="10" style="3" customWidth="1"/>
    <col min="11274" max="11274" width="9.875" style="3" customWidth="1"/>
    <col min="11275" max="11275" width="10.875" style="3" customWidth="1"/>
    <col min="11276" max="11276" width="10.5" style="3" customWidth="1"/>
    <col min="11277" max="11277" width="11" style="3" customWidth="1"/>
    <col min="11278" max="11278" width="9" style="3"/>
    <col min="11279" max="11279" width="10.625" style="3" customWidth="1"/>
    <col min="11280" max="11280" width="9" style="3"/>
    <col min="11281" max="11281" width="19.5" style="3" customWidth="1"/>
    <col min="11282" max="11282" width="16.75" style="3" customWidth="1"/>
    <col min="11283" max="11283" width="16.5" style="3" customWidth="1"/>
    <col min="11284" max="11520" width="9" style="3"/>
    <col min="11521" max="11521" width="1.875" style="3" customWidth="1"/>
    <col min="11522" max="11522" width="10" style="3" customWidth="1"/>
    <col min="11523" max="11523" width="9.875" style="3" customWidth="1"/>
    <col min="11524" max="11524" width="10.875" style="3" customWidth="1"/>
    <col min="11525" max="11525" width="10.5" style="3" customWidth="1"/>
    <col min="11526" max="11526" width="11" style="3" customWidth="1"/>
    <col min="11527" max="11527" width="9" style="3"/>
    <col min="11528" max="11528" width="10.625" style="3" customWidth="1"/>
    <col min="11529" max="11529" width="10" style="3" customWidth="1"/>
    <col min="11530" max="11530" width="9.875" style="3" customWidth="1"/>
    <col min="11531" max="11531" width="10.875" style="3" customWidth="1"/>
    <col min="11532" max="11532" width="10.5" style="3" customWidth="1"/>
    <col min="11533" max="11533" width="11" style="3" customWidth="1"/>
    <col min="11534" max="11534" width="9" style="3"/>
    <col min="11535" max="11535" width="10.625" style="3" customWidth="1"/>
    <col min="11536" max="11536" width="9" style="3"/>
    <col min="11537" max="11537" width="19.5" style="3" customWidth="1"/>
    <col min="11538" max="11538" width="16.75" style="3" customWidth="1"/>
    <col min="11539" max="11539" width="16.5" style="3" customWidth="1"/>
    <col min="11540" max="11776" width="9" style="3"/>
    <col min="11777" max="11777" width="1.875" style="3" customWidth="1"/>
    <col min="11778" max="11778" width="10" style="3" customWidth="1"/>
    <col min="11779" max="11779" width="9.875" style="3" customWidth="1"/>
    <col min="11780" max="11780" width="10.875" style="3" customWidth="1"/>
    <col min="11781" max="11781" width="10.5" style="3" customWidth="1"/>
    <col min="11782" max="11782" width="11" style="3" customWidth="1"/>
    <col min="11783" max="11783" width="9" style="3"/>
    <col min="11784" max="11784" width="10.625" style="3" customWidth="1"/>
    <col min="11785" max="11785" width="10" style="3" customWidth="1"/>
    <col min="11786" max="11786" width="9.875" style="3" customWidth="1"/>
    <col min="11787" max="11787" width="10.875" style="3" customWidth="1"/>
    <col min="11788" max="11788" width="10.5" style="3" customWidth="1"/>
    <col min="11789" max="11789" width="11" style="3" customWidth="1"/>
    <col min="11790" max="11790" width="9" style="3"/>
    <col min="11791" max="11791" width="10.625" style="3" customWidth="1"/>
    <col min="11792" max="11792" width="9" style="3"/>
    <col min="11793" max="11793" width="19.5" style="3" customWidth="1"/>
    <col min="11794" max="11794" width="16.75" style="3" customWidth="1"/>
    <col min="11795" max="11795" width="16.5" style="3" customWidth="1"/>
    <col min="11796" max="12032" width="9" style="3"/>
    <col min="12033" max="12033" width="1.875" style="3" customWidth="1"/>
    <col min="12034" max="12034" width="10" style="3" customWidth="1"/>
    <col min="12035" max="12035" width="9.875" style="3" customWidth="1"/>
    <col min="12036" max="12036" width="10.875" style="3" customWidth="1"/>
    <col min="12037" max="12037" width="10.5" style="3" customWidth="1"/>
    <col min="12038" max="12038" width="11" style="3" customWidth="1"/>
    <col min="12039" max="12039" width="9" style="3"/>
    <col min="12040" max="12040" width="10.625" style="3" customWidth="1"/>
    <col min="12041" max="12041" width="10" style="3" customWidth="1"/>
    <col min="12042" max="12042" width="9.875" style="3" customWidth="1"/>
    <col min="12043" max="12043" width="10.875" style="3" customWidth="1"/>
    <col min="12044" max="12044" width="10.5" style="3" customWidth="1"/>
    <col min="12045" max="12045" width="11" style="3" customWidth="1"/>
    <col min="12046" max="12046" width="9" style="3"/>
    <col min="12047" max="12047" width="10.625" style="3" customWidth="1"/>
    <col min="12048" max="12048" width="9" style="3"/>
    <col min="12049" max="12049" width="19.5" style="3" customWidth="1"/>
    <col min="12050" max="12050" width="16.75" style="3" customWidth="1"/>
    <col min="12051" max="12051" width="16.5" style="3" customWidth="1"/>
    <col min="12052" max="12288" width="9" style="3"/>
    <col min="12289" max="12289" width="1.875" style="3" customWidth="1"/>
    <col min="12290" max="12290" width="10" style="3" customWidth="1"/>
    <col min="12291" max="12291" width="9.875" style="3" customWidth="1"/>
    <col min="12292" max="12292" width="10.875" style="3" customWidth="1"/>
    <col min="12293" max="12293" width="10.5" style="3" customWidth="1"/>
    <col min="12294" max="12294" width="11" style="3" customWidth="1"/>
    <col min="12295" max="12295" width="9" style="3"/>
    <col min="12296" max="12296" width="10.625" style="3" customWidth="1"/>
    <col min="12297" max="12297" width="10" style="3" customWidth="1"/>
    <col min="12298" max="12298" width="9.875" style="3" customWidth="1"/>
    <col min="12299" max="12299" width="10.875" style="3" customWidth="1"/>
    <col min="12300" max="12300" width="10.5" style="3" customWidth="1"/>
    <col min="12301" max="12301" width="11" style="3" customWidth="1"/>
    <col min="12302" max="12302" width="9" style="3"/>
    <col min="12303" max="12303" width="10.625" style="3" customWidth="1"/>
    <col min="12304" max="12304" width="9" style="3"/>
    <col min="12305" max="12305" width="19.5" style="3" customWidth="1"/>
    <col min="12306" max="12306" width="16.75" style="3" customWidth="1"/>
    <col min="12307" max="12307" width="16.5" style="3" customWidth="1"/>
    <col min="12308" max="12544" width="9" style="3"/>
    <col min="12545" max="12545" width="1.875" style="3" customWidth="1"/>
    <col min="12546" max="12546" width="10" style="3" customWidth="1"/>
    <col min="12547" max="12547" width="9.875" style="3" customWidth="1"/>
    <col min="12548" max="12548" width="10.875" style="3" customWidth="1"/>
    <col min="12549" max="12549" width="10.5" style="3" customWidth="1"/>
    <col min="12550" max="12550" width="11" style="3" customWidth="1"/>
    <col min="12551" max="12551" width="9" style="3"/>
    <col min="12552" max="12552" width="10.625" style="3" customWidth="1"/>
    <col min="12553" max="12553" width="10" style="3" customWidth="1"/>
    <col min="12554" max="12554" width="9.875" style="3" customWidth="1"/>
    <col min="12555" max="12555" width="10.875" style="3" customWidth="1"/>
    <col min="12556" max="12556" width="10.5" style="3" customWidth="1"/>
    <col min="12557" max="12557" width="11" style="3" customWidth="1"/>
    <col min="12558" max="12558" width="9" style="3"/>
    <col min="12559" max="12559" width="10.625" style="3" customWidth="1"/>
    <col min="12560" max="12560" width="9" style="3"/>
    <col min="12561" max="12561" width="19.5" style="3" customWidth="1"/>
    <col min="12562" max="12562" width="16.75" style="3" customWidth="1"/>
    <col min="12563" max="12563" width="16.5" style="3" customWidth="1"/>
    <col min="12564" max="12800" width="9" style="3"/>
    <col min="12801" max="12801" width="1.875" style="3" customWidth="1"/>
    <col min="12802" max="12802" width="10" style="3" customWidth="1"/>
    <col min="12803" max="12803" width="9.875" style="3" customWidth="1"/>
    <col min="12804" max="12804" width="10.875" style="3" customWidth="1"/>
    <col min="12805" max="12805" width="10.5" style="3" customWidth="1"/>
    <col min="12806" max="12806" width="11" style="3" customWidth="1"/>
    <col min="12807" max="12807" width="9" style="3"/>
    <col min="12808" max="12808" width="10.625" style="3" customWidth="1"/>
    <col min="12809" max="12809" width="10" style="3" customWidth="1"/>
    <col min="12810" max="12810" width="9.875" style="3" customWidth="1"/>
    <col min="12811" max="12811" width="10.875" style="3" customWidth="1"/>
    <col min="12812" max="12812" width="10.5" style="3" customWidth="1"/>
    <col min="12813" max="12813" width="11" style="3" customWidth="1"/>
    <col min="12814" max="12814" width="9" style="3"/>
    <col min="12815" max="12815" width="10.625" style="3" customWidth="1"/>
    <col min="12816" max="12816" width="9" style="3"/>
    <col min="12817" max="12817" width="19.5" style="3" customWidth="1"/>
    <col min="12818" max="12818" width="16.75" style="3" customWidth="1"/>
    <col min="12819" max="12819" width="16.5" style="3" customWidth="1"/>
    <col min="12820" max="13056" width="9" style="3"/>
    <col min="13057" max="13057" width="1.875" style="3" customWidth="1"/>
    <col min="13058" max="13058" width="10" style="3" customWidth="1"/>
    <col min="13059" max="13059" width="9.875" style="3" customWidth="1"/>
    <col min="13060" max="13060" width="10.875" style="3" customWidth="1"/>
    <col min="13061" max="13061" width="10.5" style="3" customWidth="1"/>
    <col min="13062" max="13062" width="11" style="3" customWidth="1"/>
    <col min="13063" max="13063" width="9" style="3"/>
    <col min="13064" max="13064" width="10.625" style="3" customWidth="1"/>
    <col min="13065" max="13065" width="10" style="3" customWidth="1"/>
    <col min="13066" max="13066" width="9.875" style="3" customWidth="1"/>
    <col min="13067" max="13067" width="10.875" style="3" customWidth="1"/>
    <col min="13068" max="13068" width="10.5" style="3" customWidth="1"/>
    <col min="13069" max="13069" width="11" style="3" customWidth="1"/>
    <col min="13070" max="13070" width="9" style="3"/>
    <col min="13071" max="13071" width="10.625" style="3" customWidth="1"/>
    <col min="13072" max="13072" width="9" style="3"/>
    <col min="13073" max="13073" width="19.5" style="3" customWidth="1"/>
    <col min="13074" max="13074" width="16.75" style="3" customWidth="1"/>
    <col min="13075" max="13075" width="16.5" style="3" customWidth="1"/>
    <col min="13076" max="13312" width="9" style="3"/>
    <col min="13313" max="13313" width="1.875" style="3" customWidth="1"/>
    <col min="13314" max="13314" width="10" style="3" customWidth="1"/>
    <col min="13315" max="13315" width="9.875" style="3" customWidth="1"/>
    <col min="13316" max="13316" width="10.875" style="3" customWidth="1"/>
    <col min="13317" max="13317" width="10.5" style="3" customWidth="1"/>
    <col min="13318" max="13318" width="11" style="3" customWidth="1"/>
    <col min="13319" max="13319" width="9" style="3"/>
    <col min="13320" max="13320" width="10.625" style="3" customWidth="1"/>
    <col min="13321" max="13321" width="10" style="3" customWidth="1"/>
    <col min="13322" max="13322" width="9.875" style="3" customWidth="1"/>
    <col min="13323" max="13323" width="10.875" style="3" customWidth="1"/>
    <col min="13324" max="13324" width="10.5" style="3" customWidth="1"/>
    <col min="13325" max="13325" width="11" style="3" customWidth="1"/>
    <col min="13326" max="13326" width="9" style="3"/>
    <col min="13327" max="13327" width="10.625" style="3" customWidth="1"/>
    <col min="13328" max="13328" width="9" style="3"/>
    <col min="13329" max="13329" width="19.5" style="3" customWidth="1"/>
    <col min="13330" max="13330" width="16.75" style="3" customWidth="1"/>
    <col min="13331" max="13331" width="16.5" style="3" customWidth="1"/>
    <col min="13332" max="13568" width="9" style="3"/>
    <col min="13569" max="13569" width="1.875" style="3" customWidth="1"/>
    <col min="13570" max="13570" width="10" style="3" customWidth="1"/>
    <col min="13571" max="13571" width="9.875" style="3" customWidth="1"/>
    <col min="13572" max="13572" width="10.875" style="3" customWidth="1"/>
    <col min="13573" max="13573" width="10.5" style="3" customWidth="1"/>
    <col min="13574" max="13574" width="11" style="3" customWidth="1"/>
    <col min="13575" max="13575" width="9" style="3"/>
    <col min="13576" max="13576" width="10.625" style="3" customWidth="1"/>
    <col min="13577" max="13577" width="10" style="3" customWidth="1"/>
    <col min="13578" max="13578" width="9.875" style="3" customWidth="1"/>
    <col min="13579" max="13579" width="10.875" style="3" customWidth="1"/>
    <col min="13580" max="13580" width="10.5" style="3" customWidth="1"/>
    <col min="13581" max="13581" width="11" style="3" customWidth="1"/>
    <col min="13582" max="13582" width="9" style="3"/>
    <col min="13583" max="13583" width="10.625" style="3" customWidth="1"/>
    <col min="13584" max="13584" width="9" style="3"/>
    <col min="13585" max="13585" width="19.5" style="3" customWidth="1"/>
    <col min="13586" max="13586" width="16.75" style="3" customWidth="1"/>
    <col min="13587" max="13587" width="16.5" style="3" customWidth="1"/>
    <col min="13588" max="13824" width="9" style="3"/>
    <col min="13825" max="13825" width="1.875" style="3" customWidth="1"/>
    <col min="13826" max="13826" width="10" style="3" customWidth="1"/>
    <col min="13827" max="13827" width="9.875" style="3" customWidth="1"/>
    <col min="13828" max="13828" width="10.875" style="3" customWidth="1"/>
    <col min="13829" max="13829" width="10.5" style="3" customWidth="1"/>
    <col min="13830" max="13830" width="11" style="3" customWidth="1"/>
    <col min="13831" max="13831" width="9" style="3"/>
    <col min="13832" max="13832" width="10.625" style="3" customWidth="1"/>
    <col min="13833" max="13833" width="10" style="3" customWidth="1"/>
    <col min="13834" max="13834" width="9.875" style="3" customWidth="1"/>
    <col min="13835" max="13835" width="10.875" style="3" customWidth="1"/>
    <col min="13836" max="13836" width="10.5" style="3" customWidth="1"/>
    <col min="13837" max="13837" width="11" style="3" customWidth="1"/>
    <col min="13838" max="13838" width="9" style="3"/>
    <col min="13839" max="13839" width="10.625" style="3" customWidth="1"/>
    <col min="13840" max="13840" width="9" style="3"/>
    <col min="13841" max="13841" width="19.5" style="3" customWidth="1"/>
    <col min="13842" max="13842" width="16.75" style="3" customWidth="1"/>
    <col min="13843" max="13843" width="16.5" style="3" customWidth="1"/>
    <col min="13844" max="14080" width="9" style="3"/>
    <col min="14081" max="14081" width="1.875" style="3" customWidth="1"/>
    <col min="14082" max="14082" width="10" style="3" customWidth="1"/>
    <col min="14083" max="14083" width="9.875" style="3" customWidth="1"/>
    <col min="14084" max="14084" width="10.875" style="3" customWidth="1"/>
    <col min="14085" max="14085" width="10.5" style="3" customWidth="1"/>
    <col min="14086" max="14086" width="11" style="3" customWidth="1"/>
    <col min="14087" max="14087" width="9" style="3"/>
    <col min="14088" max="14088" width="10.625" style="3" customWidth="1"/>
    <col min="14089" max="14089" width="10" style="3" customWidth="1"/>
    <col min="14090" max="14090" width="9.875" style="3" customWidth="1"/>
    <col min="14091" max="14091" width="10.875" style="3" customWidth="1"/>
    <col min="14092" max="14092" width="10.5" style="3" customWidth="1"/>
    <col min="14093" max="14093" width="11" style="3" customWidth="1"/>
    <col min="14094" max="14094" width="9" style="3"/>
    <col min="14095" max="14095" width="10.625" style="3" customWidth="1"/>
    <col min="14096" max="14096" width="9" style="3"/>
    <col min="14097" max="14097" width="19.5" style="3" customWidth="1"/>
    <col min="14098" max="14098" width="16.75" style="3" customWidth="1"/>
    <col min="14099" max="14099" width="16.5" style="3" customWidth="1"/>
    <col min="14100" max="14336" width="9" style="3"/>
    <col min="14337" max="14337" width="1.875" style="3" customWidth="1"/>
    <col min="14338" max="14338" width="10" style="3" customWidth="1"/>
    <col min="14339" max="14339" width="9.875" style="3" customWidth="1"/>
    <col min="14340" max="14340" width="10.875" style="3" customWidth="1"/>
    <col min="14341" max="14341" width="10.5" style="3" customWidth="1"/>
    <col min="14342" max="14342" width="11" style="3" customWidth="1"/>
    <col min="14343" max="14343" width="9" style="3"/>
    <col min="14344" max="14344" width="10.625" style="3" customWidth="1"/>
    <col min="14345" max="14345" width="10" style="3" customWidth="1"/>
    <col min="14346" max="14346" width="9.875" style="3" customWidth="1"/>
    <col min="14347" max="14347" width="10.875" style="3" customWidth="1"/>
    <col min="14348" max="14348" width="10.5" style="3" customWidth="1"/>
    <col min="14349" max="14349" width="11" style="3" customWidth="1"/>
    <col min="14350" max="14350" width="9" style="3"/>
    <col min="14351" max="14351" width="10.625" style="3" customWidth="1"/>
    <col min="14352" max="14352" width="9" style="3"/>
    <col min="14353" max="14353" width="19.5" style="3" customWidth="1"/>
    <col min="14354" max="14354" width="16.75" style="3" customWidth="1"/>
    <col min="14355" max="14355" width="16.5" style="3" customWidth="1"/>
    <col min="14356" max="14592" width="9" style="3"/>
    <col min="14593" max="14593" width="1.875" style="3" customWidth="1"/>
    <col min="14594" max="14594" width="10" style="3" customWidth="1"/>
    <col min="14595" max="14595" width="9.875" style="3" customWidth="1"/>
    <col min="14596" max="14596" width="10.875" style="3" customWidth="1"/>
    <col min="14597" max="14597" width="10.5" style="3" customWidth="1"/>
    <col min="14598" max="14598" width="11" style="3" customWidth="1"/>
    <col min="14599" max="14599" width="9" style="3"/>
    <col min="14600" max="14600" width="10.625" style="3" customWidth="1"/>
    <col min="14601" max="14601" width="10" style="3" customWidth="1"/>
    <col min="14602" max="14602" width="9.875" style="3" customWidth="1"/>
    <col min="14603" max="14603" width="10.875" style="3" customWidth="1"/>
    <col min="14604" max="14604" width="10.5" style="3" customWidth="1"/>
    <col min="14605" max="14605" width="11" style="3" customWidth="1"/>
    <col min="14606" max="14606" width="9" style="3"/>
    <col min="14607" max="14607" width="10.625" style="3" customWidth="1"/>
    <col min="14608" max="14608" width="9" style="3"/>
    <col min="14609" max="14609" width="19.5" style="3" customWidth="1"/>
    <col min="14610" max="14610" width="16.75" style="3" customWidth="1"/>
    <col min="14611" max="14611" width="16.5" style="3" customWidth="1"/>
    <col min="14612" max="14848" width="9" style="3"/>
    <col min="14849" max="14849" width="1.875" style="3" customWidth="1"/>
    <col min="14850" max="14850" width="10" style="3" customWidth="1"/>
    <col min="14851" max="14851" width="9.875" style="3" customWidth="1"/>
    <col min="14852" max="14852" width="10.875" style="3" customWidth="1"/>
    <col min="14853" max="14853" width="10.5" style="3" customWidth="1"/>
    <col min="14854" max="14854" width="11" style="3" customWidth="1"/>
    <col min="14855" max="14855" width="9" style="3"/>
    <col min="14856" max="14856" width="10.625" style="3" customWidth="1"/>
    <col min="14857" max="14857" width="10" style="3" customWidth="1"/>
    <col min="14858" max="14858" width="9.875" style="3" customWidth="1"/>
    <col min="14859" max="14859" width="10.875" style="3" customWidth="1"/>
    <col min="14860" max="14860" width="10.5" style="3" customWidth="1"/>
    <col min="14861" max="14861" width="11" style="3" customWidth="1"/>
    <col min="14862" max="14862" width="9" style="3"/>
    <col min="14863" max="14863" width="10.625" style="3" customWidth="1"/>
    <col min="14864" max="14864" width="9" style="3"/>
    <col min="14865" max="14865" width="19.5" style="3" customWidth="1"/>
    <col min="14866" max="14866" width="16.75" style="3" customWidth="1"/>
    <col min="14867" max="14867" width="16.5" style="3" customWidth="1"/>
    <col min="14868" max="15104" width="9" style="3"/>
    <col min="15105" max="15105" width="1.875" style="3" customWidth="1"/>
    <col min="15106" max="15106" width="10" style="3" customWidth="1"/>
    <col min="15107" max="15107" width="9.875" style="3" customWidth="1"/>
    <col min="15108" max="15108" width="10.875" style="3" customWidth="1"/>
    <col min="15109" max="15109" width="10.5" style="3" customWidth="1"/>
    <col min="15110" max="15110" width="11" style="3" customWidth="1"/>
    <col min="15111" max="15111" width="9" style="3"/>
    <col min="15112" max="15112" width="10.625" style="3" customWidth="1"/>
    <col min="15113" max="15113" width="10" style="3" customWidth="1"/>
    <col min="15114" max="15114" width="9.875" style="3" customWidth="1"/>
    <col min="15115" max="15115" width="10.875" style="3" customWidth="1"/>
    <col min="15116" max="15116" width="10.5" style="3" customWidth="1"/>
    <col min="15117" max="15117" width="11" style="3" customWidth="1"/>
    <col min="15118" max="15118" width="9" style="3"/>
    <col min="15119" max="15119" width="10.625" style="3" customWidth="1"/>
    <col min="15120" max="15120" width="9" style="3"/>
    <col min="15121" max="15121" width="19.5" style="3" customWidth="1"/>
    <col min="15122" max="15122" width="16.75" style="3" customWidth="1"/>
    <col min="15123" max="15123" width="16.5" style="3" customWidth="1"/>
    <col min="15124" max="15360" width="9" style="3"/>
    <col min="15361" max="15361" width="1.875" style="3" customWidth="1"/>
    <col min="15362" max="15362" width="10" style="3" customWidth="1"/>
    <col min="15363" max="15363" width="9.875" style="3" customWidth="1"/>
    <col min="15364" max="15364" width="10.875" style="3" customWidth="1"/>
    <col min="15365" max="15365" width="10.5" style="3" customWidth="1"/>
    <col min="15366" max="15366" width="11" style="3" customWidth="1"/>
    <col min="15367" max="15367" width="9" style="3"/>
    <col min="15368" max="15368" width="10.625" style="3" customWidth="1"/>
    <col min="15369" max="15369" width="10" style="3" customWidth="1"/>
    <col min="15370" max="15370" width="9.875" style="3" customWidth="1"/>
    <col min="15371" max="15371" width="10.875" style="3" customWidth="1"/>
    <col min="15372" max="15372" width="10.5" style="3" customWidth="1"/>
    <col min="15373" max="15373" width="11" style="3" customWidth="1"/>
    <col min="15374" max="15374" width="9" style="3"/>
    <col min="15375" max="15375" width="10.625" style="3" customWidth="1"/>
    <col min="15376" max="15376" width="9" style="3"/>
    <col min="15377" max="15377" width="19.5" style="3" customWidth="1"/>
    <col min="15378" max="15378" width="16.75" style="3" customWidth="1"/>
    <col min="15379" max="15379" width="16.5" style="3" customWidth="1"/>
    <col min="15380" max="15616" width="9" style="3"/>
    <col min="15617" max="15617" width="1.875" style="3" customWidth="1"/>
    <col min="15618" max="15618" width="10" style="3" customWidth="1"/>
    <col min="15619" max="15619" width="9.875" style="3" customWidth="1"/>
    <col min="15620" max="15620" width="10.875" style="3" customWidth="1"/>
    <col min="15621" max="15621" width="10.5" style="3" customWidth="1"/>
    <col min="15622" max="15622" width="11" style="3" customWidth="1"/>
    <col min="15623" max="15623" width="9" style="3"/>
    <col min="15624" max="15624" width="10.625" style="3" customWidth="1"/>
    <col min="15625" max="15625" width="10" style="3" customWidth="1"/>
    <col min="15626" max="15626" width="9.875" style="3" customWidth="1"/>
    <col min="15627" max="15627" width="10.875" style="3" customWidth="1"/>
    <col min="15628" max="15628" width="10.5" style="3" customWidth="1"/>
    <col min="15629" max="15629" width="11" style="3" customWidth="1"/>
    <col min="15630" max="15630" width="9" style="3"/>
    <col min="15631" max="15631" width="10.625" style="3" customWidth="1"/>
    <col min="15632" max="15632" width="9" style="3"/>
    <col min="15633" max="15633" width="19.5" style="3" customWidth="1"/>
    <col min="15634" max="15634" width="16.75" style="3" customWidth="1"/>
    <col min="15635" max="15635" width="16.5" style="3" customWidth="1"/>
    <col min="15636" max="15872" width="9" style="3"/>
    <col min="15873" max="15873" width="1.875" style="3" customWidth="1"/>
    <col min="15874" max="15874" width="10" style="3" customWidth="1"/>
    <col min="15875" max="15875" width="9.875" style="3" customWidth="1"/>
    <col min="15876" max="15876" width="10.875" style="3" customWidth="1"/>
    <col min="15877" max="15877" width="10.5" style="3" customWidth="1"/>
    <col min="15878" max="15878" width="11" style="3" customWidth="1"/>
    <col min="15879" max="15879" width="9" style="3"/>
    <col min="15880" max="15880" width="10.625" style="3" customWidth="1"/>
    <col min="15881" max="15881" width="10" style="3" customWidth="1"/>
    <col min="15882" max="15882" width="9.875" style="3" customWidth="1"/>
    <col min="15883" max="15883" width="10.875" style="3" customWidth="1"/>
    <col min="15884" max="15884" width="10.5" style="3" customWidth="1"/>
    <col min="15885" max="15885" width="11" style="3" customWidth="1"/>
    <col min="15886" max="15886" width="9" style="3"/>
    <col min="15887" max="15887" width="10.625" style="3" customWidth="1"/>
    <col min="15888" max="15888" width="9" style="3"/>
    <col min="15889" max="15889" width="19.5" style="3" customWidth="1"/>
    <col min="15890" max="15890" width="16.75" style="3" customWidth="1"/>
    <col min="15891" max="15891" width="16.5" style="3" customWidth="1"/>
    <col min="15892" max="16128" width="9" style="3"/>
    <col min="16129" max="16129" width="1.875" style="3" customWidth="1"/>
    <col min="16130" max="16130" width="10" style="3" customWidth="1"/>
    <col min="16131" max="16131" width="9.875" style="3" customWidth="1"/>
    <col min="16132" max="16132" width="10.875" style="3" customWidth="1"/>
    <col min="16133" max="16133" width="10.5" style="3" customWidth="1"/>
    <col min="16134" max="16134" width="11" style="3" customWidth="1"/>
    <col min="16135" max="16135" width="9" style="3"/>
    <col min="16136" max="16136" width="10.625" style="3" customWidth="1"/>
    <col min="16137" max="16137" width="10" style="3" customWidth="1"/>
    <col min="16138" max="16138" width="9.875" style="3" customWidth="1"/>
    <col min="16139" max="16139" width="10.875" style="3" customWidth="1"/>
    <col min="16140" max="16140" width="10.5" style="3" customWidth="1"/>
    <col min="16141" max="16141" width="11" style="3" customWidth="1"/>
    <col min="16142" max="16142" width="9" style="3"/>
    <col min="16143" max="16143" width="10.625" style="3" customWidth="1"/>
    <col min="16144" max="16144" width="9" style="3"/>
    <col min="16145" max="16145" width="19.5" style="3" customWidth="1"/>
    <col min="16146" max="16146" width="16.75" style="3" customWidth="1"/>
    <col min="16147" max="16147" width="16.5" style="3" customWidth="1"/>
    <col min="16148" max="16384" width="9" style="3"/>
  </cols>
  <sheetData>
    <row r="1" spans="1:18" ht="32.450000000000003" customHeight="1">
      <c r="B1" s="188" t="s">
        <v>0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</row>
    <row r="2" spans="1:18" ht="27" customHeight="1" thickBot="1">
      <c r="L2" s="190" t="s">
        <v>179</v>
      </c>
      <c r="M2" s="190"/>
      <c r="N2" s="190"/>
      <c r="O2" s="190"/>
    </row>
    <row r="3" spans="1:18" s="1" customFormat="1" ht="45.75" customHeight="1" thickTop="1" thickBot="1">
      <c r="B3" s="40" t="s">
        <v>1</v>
      </c>
      <c r="C3" s="11" t="s">
        <v>2</v>
      </c>
      <c r="D3" s="41" t="s">
        <v>3</v>
      </c>
      <c r="E3" s="9" t="s">
        <v>4</v>
      </c>
      <c r="F3" s="41" t="s">
        <v>5</v>
      </c>
      <c r="G3" s="79" t="s">
        <v>6</v>
      </c>
      <c r="H3" s="11" t="s">
        <v>7</v>
      </c>
      <c r="I3" s="40" t="s">
        <v>1</v>
      </c>
      <c r="J3" s="11" t="s">
        <v>2</v>
      </c>
      <c r="K3" s="9" t="s">
        <v>3</v>
      </c>
      <c r="L3" s="9" t="s">
        <v>4</v>
      </c>
      <c r="M3" s="41" t="s">
        <v>5</v>
      </c>
      <c r="N3" s="92" t="s">
        <v>6</v>
      </c>
      <c r="O3" s="93" t="s">
        <v>7</v>
      </c>
      <c r="Q3" s="1" t="s">
        <v>8</v>
      </c>
    </row>
    <row r="4" spans="1:18" ht="34.5" customHeight="1">
      <c r="A4" s="3" t="s">
        <v>8</v>
      </c>
      <c r="B4" s="80" t="s">
        <v>9</v>
      </c>
      <c r="C4" s="81">
        <v>1001</v>
      </c>
      <c r="D4" s="82" t="s">
        <v>10</v>
      </c>
      <c r="E4" s="83">
        <f>1800/30*G4</f>
        <v>1800</v>
      </c>
      <c r="F4" s="84">
        <f t="shared" ref="F4:F25" si="0">E4+300</f>
        <v>2100</v>
      </c>
      <c r="G4" s="85">
        <v>30</v>
      </c>
      <c r="H4" s="86" t="str">
        <f>IF(G4&lt;30,"V"," ")</f>
        <v xml:space="preserve"> </v>
      </c>
      <c r="I4" s="94" t="s">
        <v>11</v>
      </c>
      <c r="J4" s="95">
        <v>2003</v>
      </c>
      <c r="K4" s="96" t="s">
        <v>12</v>
      </c>
      <c r="L4" s="15">
        <f t="shared" ref="L4:L14" si="1">1800/30*N4</f>
        <v>1800</v>
      </c>
      <c r="M4" s="97">
        <f t="shared" ref="M4:M13" si="2">L4+300</f>
        <v>2100</v>
      </c>
      <c r="N4" s="98">
        <v>30</v>
      </c>
      <c r="O4" s="99" t="str">
        <f t="shared" ref="O4:O16" si="3">IF(N4&lt;30,"V"," ")</f>
        <v xml:space="preserve"> </v>
      </c>
    </row>
    <row r="5" spans="1:18" ht="35.1" customHeight="1">
      <c r="B5" s="19" t="s">
        <v>13</v>
      </c>
      <c r="C5" s="20">
        <v>1010</v>
      </c>
      <c r="D5" s="87" t="s">
        <v>14</v>
      </c>
      <c r="E5" s="51">
        <f t="shared" ref="E5:E33" si="4">1800/30*G5</f>
        <v>1800</v>
      </c>
      <c r="F5" s="88">
        <f t="shared" si="0"/>
        <v>2100</v>
      </c>
      <c r="G5" s="17">
        <v>30</v>
      </c>
      <c r="H5" s="18" t="str">
        <f t="shared" ref="H5:H36" si="5">IF(G5&lt;30,"V"," ")</f>
        <v xml:space="preserve"> </v>
      </c>
      <c r="I5" s="50" t="s">
        <v>15</v>
      </c>
      <c r="J5" s="100">
        <v>2005</v>
      </c>
      <c r="K5" s="30" t="s">
        <v>17</v>
      </c>
      <c r="L5" s="15">
        <f t="shared" si="1"/>
        <v>1800</v>
      </c>
      <c r="M5" s="22">
        <f t="shared" si="2"/>
        <v>2100</v>
      </c>
      <c r="N5" s="101">
        <v>30</v>
      </c>
      <c r="O5" s="102" t="str">
        <f t="shared" si="3"/>
        <v xml:space="preserve"> </v>
      </c>
    </row>
    <row r="6" spans="1:18" ht="35.1" customHeight="1">
      <c r="B6" s="25" t="s">
        <v>15</v>
      </c>
      <c r="C6" s="20">
        <v>1050</v>
      </c>
      <c r="D6" s="89" t="s">
        <v>16</v>
      </c>
      <c r="E6" s="51">
        <f t="shared" si="4"/>
        <v>1800</v>
      </c>
      <c r="F6" s="90">
        <f t="shared" si="0"/>
        <v>2100</v>
      </c>
      <c r="G6" s="17">
        <v>30</v>
      </c>
      <c r="H6" s="18" t="str">
        <f t="shared" si="5"/>
        <v xml:space="preserve"> </v>
      </c>
      <c r="I6" s="103" t="s">
        <v>15</v>
      </c>
      <c r="J6" s="104">
        <v>2002</v>
      </c>
      <c r="K6" s="105" t="s">
        <v>20</v>
      </c>
      <c r="L6" s="15">
        <f t="shared" si="1"/>
        <v>1800</v>
      </c>
      <c r="M6" s="33">
        <f t="shared" si="2"/>
        <v>2100</v>
      </c>
      <c r="N6" s="101">
        <v>30</v>
      </c>
      <c r="O6" s="102" t="str">
        <f t="shared" si="3"/>
        <v xml:space="preserve"> </v>
      </c>
    </row>
    <row r="7" spans="1:18" ht="35.1" customHeight="1">
      <c r="B7" s="25" t="s">
        <v>15</v>
      </c>
      <c r="C7" s="20" t="s">
        <v>18</v>
      </c>
      <c r="D7" s="89" t="s">
        <v>19</v>
      </c>
      <c r="E7" s="51">
        <f t="shared" si="4"/>
        <v>1800</v>
      </c>
      <c r="F7" s="90">
        <f t="shared" si="0"/>
        <v>2100</v>
      </c>
      <c r="G7" s="17">
        <v>30</v>
      </c>
      <c r="H7" s="18" t="str">
        <f t="shared" si="5"/>
        <v xml:space="preserve"> </v>
      </c>
      <c r="I7" s="91" t="s">
        <v>22</v>
      </c>
      <c r="J7" s="100">
        <v>2008</v>
      </c>
      <c r="K7" s="30" t="s">
        <v>23</v>
      </c>
      <c r="L7" s="15">
        <f t="shared" si="1"/>
        <v>540</v>
      </c>
      <c r="M7" s="22">
        <f t="shared" si="2"/>
        <v>840</v>
      </c>
      <c r="N7" s="101">
        <v>9</v>
      </c>
      <c r="O7" s="102" t="str">
        <f t="shared" si="3"/>
        <v>V</v>
      </c>
    </row>
    <row r="8" spans="1:18" ht="35.1" customHeight="1">
      <c r="B8" s="25" t="s">
        <v>15</v>
      </c>
      <c r="C8" s="20">
        <v>1060</v>
      </c>
      <c r="D8" s="89" t="s">
        <v>21</v>
      </c>
      <c r="E8" s="51">
        <f t="shared" si="4"/>
        <v>1800</v>
      </c>
      <c r="F8" s="90">
        <f t="shared" si="0"/>
        <v>2100</v>
      </c>
      <c r="G8" s="17">
        <v>30</v>
      </c>
      <c r="H8" s="18" t="str">
        <f t="shared" si="5"/>
        <v xml:space="preserve"> </v>
      </c>
      <c r="I8" s="50" t="s">
        <v>15</v>
      </c>
      <c r="J8" s="100">
        <v>2011</v>
      </c>
      <c r="K8" s="30" t="s">
        <v>26</v>
      </c>
      <c r="L8" s="15">
        <f t="shared" si="1"/>
        <v>1800</v>
      </c>
      <c r="M8" s="22">
        <f t="shared" si="2"/>
        <v>2100</v>
      </c>
      <c r="N8" s="101">
        <v>30</v>
      </c>
      <c r="O8" s="102" t="str">
        <f t="shared" si="3"/>
        <v xml:space="preserve"> </v>
      </c>
    </row>
    <row r="9" spans="1:18" ht="35.1" customHeight="1">
      <c r="B9" s="19" t="s">
        <v>24</v>
      </c>
      <c r="C9" s="20">
        <v>1033</v>
      </c>
      <c r="D9" s="89" t="s">
        <v>25</v>
      </c>
      <c r="E9" s="51">
        <f t="shared" si="4"/>
        <v>960</v>
      </c>
      <c r="F9" s="90">
        <f>E9+160</f>
        <v>1120</v>
      </c>
      <c r="G9" s="17">
        <v>16</v>
      </c>
      <c r="H9" s="18" t="str">
        <f t="shared" si="5"/>
        <v>V</v>
      </c>
      <c r="I9" s="50" t="s">
        <v>15</v>
      </c>
      <c r="J9" s="106" t="s">
        <v>28</v>
      </c>
      <c r="K9" s="30" t="s">
        <v>29</v>
      </c>
      <c r="L9" s="15">
        <f t="shared" si="1"/>
        <v>780</v>
      </c>
      <c r="M9" s="22">
        <f t="shared" si="2"/>
        <v>1080</v>
      </c>
      <c r="N9" s="101">
        <v>13</v>
      </c>
      <c r="O9" s="102" t="str">
        <f t="shared" si="3"/>
        <v>V</v>
      </c>
      <c r="Q9" s="119"/>
    </row>
    <row r="10" spans="1:18" ht="35.1" customHeight="1">
      <c r="B10" s="25" t="s">
        <v>15</v>
      </c>
      <c r="C10" s="20">
        <v>1064</v>
      </c>
      <c r="D10" s="89" t="s">
        <v>27</v>
      </c>
      <c r="E10" s="51">
        <f t="shared" si="4"/>
        <v>1800</v>
      </c>
      <c r="F10" s="90">
        <f t="shared" si="0"/>
        <v>2100</v>
      </c>
      <c r="G10" s="17">
        <v>30</v>
      </c>
      <c r="H10" s="18" t="str">
        <f t="shared" si="5"/>
        <v xml:space="preserve"> </v>
      </c>
      <c r="I10" s="50" t="s">
        <v>15</v>
      </c>
      <c r="J10" s="106">
        <v>2042</v>
      </c>
      <c r="K10" s="30" t="s">
        <v>31</v>
      </c>
      <c r="L10" s="15">
        <f t="shared" si="1"/>
        <v>1800</v>
      </c>
      <c r="M10" s="22">
        <f t="shared" si="2"/>
        <v>2100</v>
      </c>
      <c r="N10" s="101">
        <v>30</v>
      </c>
      <c r="O10" s="102" t="str">
        <f t="shared" si="3"/>
        <v xml:space="preserve"> </v>
      </c>
      <c r="Q10" s="119"/>
    </row>
    <row r="11" spans="1:18" ht="35.1" customHeight="1">
      <c r="B11" s="25" t="s">
        <v>15</v>
      </c>
      <c r="C11" s="20">
        <v>1003</v>
      </c>
      <c r="D11" s="89" t="s">
        <v>30</v>
      </c>
      <c r="E11" s="51">
        <f t="shared" si="4"/>
        <v>1800</v>
      </c>
      <c r="F11" s="90">
        <f t="shared" si="0"/>
        <v>2100</v>
      </c>
      <c r="G11" s="17">
        <v>30</v>
      </c>
      <c r="H11" s="18" t="str">
        <f t="shared" si="5"/>
        <v xml:space="preserve"> </v>
      </c>
      <c r="I11" s="91" t="s">
        <v>32</v>
      </c>
      <c r="J11" s="106">
        <v>2039</v>
      </c>
      <c r="K11" s="89" t="s">
        <v>73</v>
      </c>
      <c r="L11" s="51">
        <f t="shared" si="1"/>
        <v>1800</v>
      </c>
      <c r="M11" s="90">
        <f t="shared" si="2"/>
        <v>2100</v>
      </c>
      <c r="N11" s="23">
        <v>30</v>
      </c>
      <c r="O11" s="18" t="str">
        <f t="shared" si="3"/>
        <v xml:space="preserve"> </v>
      </c>
      <c r="Q11" s="119"/>
    </row>
    <row r="12" spans="1:18" ht="35.1" customHeight="1">
      <c r="B12" s="25" t="s">
        <v>15</v>
      </c>
      <c r="C12" s="20">
        <v>1073</v>
      </c>
      <c r="D12" s="89" t="s">
        <v>155</v>
      </c>
      <c r="E12" s="51">
        <f t="shared" si="4"/>
        <v>1800</v>
      </c>
      <c r="F12" s="90">
        <f t="shared" si="0"/>
        <v>2100</v>
      </c>
      <c r="G12" s="17">
        <v>30</v>
      </c>
      <c r="H12" s="18" t="str">
        <f t="shared" si="5"/>
        <v xml:space="preserve"> </v>
      </c>
      <c r="I12" s="50" t="s">
        <v>15</v>
      </c>
      <c r="J12" s="106">
        <v>2031</v>
      </c>
      <c r="K12" s="30" t="s">
        <v>37</v>
      </c>
      <c r="L12" s="15">
        <f t="shared" si="1"/>
        <v>660</v>
      </c>
      <c r="M12" s="22">
        <f t="shared" si="2"/>
        <v>960</v>
      </c>
      <c r="N12" s="101">
        <v>11</v>
      </c>
      <c r="O12" s="102" t="str">
        <f t="shared" si="3"/>
        <v>V</v>
      </c>
      <c r="Q12" s="119"/>
      <c r="R12" s="76"/>
    </row>
    <row r="13" spans="1:18" ht="35.1" customHeight="1">
      <c r="B13" s="25" t="s">
        <v>15</v>
      </c>
      <c r="C13" s="20">
        <v>2018</v>
      </c>
      <c r="D13" s="30" t="s">
        <v>33</v>
      </c>
      <c r="E13" s="15">
        <f t="shared" si="4"/>
        <v>1800</v>
      </c>
      <c r="F13" s="22">
        <f t="shared" si="0"/>
        <v>2100</v>
      </c>
      <c r="G13" s="101">
        <v>30</v>
      </c>
      <c r="H13" s="102" t="str">
        <f t="shared" si="5"/>
        <v xml:space="preserve"> </v>
      </c>
      <c r="I13" s="50" t="s">
        <v>15</v>
      </c>
      <c r="J13" s="106">
        <v>2047</v>
      </c>
      <c r="K13" s="107" t="s">
        <v>144</v>
      </c>
      <c r="L13" s="15">
        <f t="shared" si="1"/>
        <v>1800</v>
      </c>
      <c r="M13" s="22">
        <f t="shared" si="2"/>
        <v>2100</v>
      </c>
      <c r="N13" s="101">
        <v>30</v>
      </c>
      <c r="O13" s="102" t="str">
        <f t="shared" si="3"/>
        <v xml:space="preserve"> </v>
      </c>
      <c r="Q13" s="120"/>
      <c r="R13" s="134"/>
    </row>
    <row r="14" spans="1:18" ht="34.9" customHeight="1">
      <c r="B14" s="19" t="s">
        <v>34</v>
      </c>
      <c r="C14" s="20">
        <v>1046</v>
      </c>
      <c r="D14" s="89" t="s">
        <v>35</v>
      </c>
      <c r="E14" s="51">
        <f t="shared" si="4"/>
        <v>1800</v>
      </c>
      <c r="F14" s="90">
        <f t="shared" ref="F14:F16" si="6">E14+300</f>
        <v>2100</v>
      </c>
      <c r="G14" s="17">
        <v>30</v>
      </c>
      <c r="H14" s="18" t="str">
        <f t="shared" si="5"/>
        <v xml:space="preserve"> </v>
      </c>
      <c r="I14" s="50"/>
      <c r="J14" s="106"/>
      <c r="K14" s="107"/>
      <c r="L14" s="15">
        <f t="shared" si="1"/>
        <v>0</v>
      </c>
      <c r="M14" s="22"/>
      <c r="N14" s="101"/>
      <c r="O14" s="102" t="str">
        <f t="shared" si="3"/>
        <v>V</v>
      </c>
      <c r="Q14" s="120"/>
      <c r="R14" s="76"/>
    </row>
    <row r="15" spans="1:18" ht="35.1" customHeight="1">
      <c r="B15" s="25" t="s">
        <v>15</v>
      </c>
      <c r="C15" s="20">
        <v>1014</v>
      </c>
      <c r="D15" s="89" t="s">
        <v>36</v>
      </c>
      <c r="E15" s="51">
        <f t="shared" si="4"/>
        <v>1800</v>
      </c>
      <c r="F15" s="90">
        <f t="shared" si="6"/>
        <v>2100</v>
      </c>
      <c r="G15" s="17">
        <v>30</v>
      </c>
      <c r="H15" s="18" t="str">
        <f t="shared" si="5"/>
        <v xml:space="preserve"> </v>
      </c>
      <c r="I15" s="50"/>
      <c r="J15" s="106"/>
      <c r="K15" s="107"/>
      <c r="L15" s="15"/>
      <c r="M15" s="22"/>
      <c r="N15" s="101"/>
      <c r="O15" s="102" t="str">
        <f t="shared" si="3"/>
        <v>V</v>
      </c>
      <c r="Q15" s="120"/>
    </row>
    <row r="16" spans="1:18" ht="35.1" customHeight="1">
      <c r="B16" s="25" t="s">
        <v>15</v>
      </c>
      <c r="C16" s="20">
        <v>1015</v>
      </c>
      <c r="D16" s="89" t="s">
        <v>38</v>
      </c>
      <c r="E16" s="51">
        <f t="shared" si="4"/>
        <v>1800</v>
      </c>
      <c r="F16" s="90">
        <f t="shared" si="6"/>
        <v>2100</v>
      </c>
      <c r="G16" s="17">
        <v>30</v>
      </c>
      <c r="H16" s="18" t="str">
        <f t="shared" si="5"/>
        <v xml:space="preserve"> </v>
      </c>
      <c r="I16" s="50"/>
      <c r="J16" s="106"/>
      <c r="K16" s="107"/>
      <c r="L16" s="28"/>
      <c r="M16" s="22"/>
      <c r="N16" s="101"/>
      <c r="O16" s="102" t="str">
        <f t="shared" si="3"/>
        <v>V</v>
      </c>
      <c r="Q16" s="120"/>
    </row>
    <row r="17" spans="2:19" ht="35.1" customHeight="1">
      <c r="B17" s="25" t="s">
        <v>15</v>
      </c>
      <c r="C17" s="163" t="s">
        <v>174</v>
      </c>
      <c r="D17" s="30" t="s">
        <v>49</v>
      </c>
      <c r="E17" s="109">
        <f>1800/30*G17</f>
        <v>1800</v>
      </c>
      <c r="F17" s="22">
        <f>E17+300</f>
        <v>2100</v>
      </c>
      <c r="G17" s="23">
        <v>30</v>
      </c>
      <c r="H17" s="18" t="str">
        <f>IF(G17&lt;30,"V"," ")</f>
        <v xml:space="preserve"> </v>
      </c>
      <c r="I17" s="50"/>
      <c r="J17" s="106"/>
      <c r="K17" s="107"/>
      <c r="L17" s="28"/>
      <c r="M17" s="22"/>
      <c r="N17" s="101"/>
      <c r="O17" s="102"/>
      <c r="S17" s="66">
        <f>SUMIFS(F4:F37,F4:F37,2100)</f>
        <v>48300</v>
      </c>
    </row>
    <row r="18" spans="2:19" ht="35.1" customHeight="1">
      <c r="B18" s="25" t="s">
        <v>15</v>
      </c>
      <c r="C18" s="20" t="s">
        <v>39</v>
      </c>
      <c r="D18" s="89" t="s">
        <v>40</v>
      </c>
      <c r="E18" s="51">
        <f t="shared" si="4"/>
        <v>1800</v>
      </c>
      <c r="F18" s="90">
        <f t="shared" si="0"/>
        <v>2100</v>
      </c>
      <c r="G18" s="17">
        <v>30</v>
      </c>
      <c r="H18" s="18" t="str">
        <f t="shared" si="5"/>
        <v xml:space="preserve"> </v>
      </c>
      <c r="I18" s="50"/>
      <c r="J18" s="106"/>
      <c r="K18" s="107"/>
      <c r="L18" s="28"/>
      <c r="M18" s="22"/>
      <c r="N18" s="101"/>
      <c r="O18" s="102"/>
      <c r="S18" s="67">
        <f>SUMIFS(M4:M16,M4:M16,2100)</f>
        <v>14700</v>
      </c>
    </row>
    <row r="19" spans="2:19" ht="35.1" customHeight="1">
      <c r="B19" s="25" t="s">
        <v>15</v>
      </c>
      <c r="C19" s="20">
        <v>1059</v>
      </c>
      <c r="D19" s="89" t="s">
        <v>41</v>
      </c>
      <c r="E19" s="51">
        <f t="shared" si="4"/>
        <v>1740</v>
      </c>
      <c r="F19" s="90">
        <f t="shared" si="0"/>
        <v>2040</v>
      </c>
      <c r="G19" s="17">
        <v>29</v>
      </c>
      <c r="H19" s="18" t="str">
        <f t="shared" si="5"/>
        <v>V</v>
      </c>
      <c r="I19" s="198" t="s">
        <v>44</v>
      </c>
      <c r="J19" s="199"/>
      <c r="K19" s="199"/>
      <c r="L19" s="199"/>
      <c r="M19" s="199"/>
      <c r="N19" s="200"/>
      <c r="O19" s="201"/>
      <c r="S19" s="121">
        <f>SUMIFS(M20:M22,M20:M22,2100)</f>
        <v>2100</v>
      </c>
    </row>
    <row r="20" spans="2:19" ht="35.1" customHeight="1" thickBot="1">
      <c r="B20" s="25" t="s">
        <v>15</v>
      </c>
      <c r="C20" s="20" t="s">
        <v>167</v>
      </c>
      <c r="D20" s="89" t="s">
        <v>168</v>
      </c>
      <c r="E20" s="51">
        <f t="shared" si="4"/>
        <v>1800</v>
      </c>
      <c r="F20" s="90">
        <f t="shared" si="0"/>
        <v>2100</v>
      </c>
      <c r="G20" s="17">
        <v>30</v>
      </c>
      <c r="H20" s="18" t="str">
        <f t="shared" si="5"/>
        <v xml:space="preserve"> </v>
      </c>
      <c r="I20" s="91" t="s">
        <v>42</v>
      </c>
      <c r="J20" s="108" t="s">
        <v>46</v>
      </c>
      <c r="K20" s="30" t="s">
        <v>47</v>
      </c>
      <c r="L20" s="109">
        <f>1800/30*N20</f>
        <v>1740</v>
      </c>
      <c r="M20" s="33">
        <f>L20+300</f>
        <v>2040</v>
      </c>
      <c r="N20" s="101">
        <v>29</v>
      </c>
      <c r="O20" s="18" t="str">
        <f>IF(N20&lt;30,"V"," ")</f>
        <v>V</v>
      </c>
      <c r="R20" s="122" t="s">
        <v>45</v>
      </c>
      <c r="S20" s="69">
        <f>SUM(S17:S19)</f>
        <v>65100</v>
      </c>
    </row>
    <row r="21" spans="2:19" ht="35.1" customHeight="1" thickTop="1">
      <c r="B21" s="19" t="s">
        <v>42</v>
      </c>
      <c r="C21" s="20">
        <v>1004</v>
      </c>
      <c r="D21" s="89" t="s">
        <v>43</v>
      </c>
      <c r="E21" s="51">
        <f t="shared" si="4"/>
        <v>1740</v>
      </c>
      <c r="F21" s="90">
        <f t="shared" si="0"/>
        <v>2040</v>
      </c>
      <c r="G21" s="17">
        <v>29</v>
      </c>
      <c r="H21" s="18" t="str">
        <f t="shared" si="5"/>
        <v>V</v>
      </c>
      <c r="I21" s="129" t="s">
        <v>157</v>
      </c>
      <c r="J21" s="110" t="s">
        <v>156</v>
      </c>
      <c r="K21" s="89" t="s">
        <v>139</v>
      </c>
      <c r="L21" s="51">
        <f t="shared" ref="L21" si="7">1800/30*N21</f>
        <v>1800</v>
      </c>
      <c r="M21" s="90">
        <f t="shared" ref="M21" si="8">L21+300</f>
        <v>2100</v>
      </c>
      <c r="N21" s="17">
        <v>30</v>
      </c>
      <c r="O21" s="18" t="str">
        <f>IF(N21&lt;30,"V"," ")</f>
        <v xml:space="preserve"> </v>
      </c>
      <c r="S21" s="76" t="s">
        <v>48</v>
      </c>
    </row>
    <row r="22" spans="2:19" ht="35.1" customHeight="1">
      <c r="B22" s="25" t="s">
        <v>15</v>
      </c>
      <c r="C22" s="20">
        <v>1008</v>
      </c>
      <c r="D22" s="89" t="s">
        <v>158</v>
      </c>
      <c r="E22" s="51">
        <f t="shared" si="4"/>
        <v>1800</v>
      </c>
      <c r="F22" s="90">
        <f t="shared" si="0"/>
        <v>2100</v>
      </c>
      <c r="G22" s="17">
        <v>30</v>
      </c>
      <c r="H22" s="18" t="str">
        <f t="shared" si="5"/>
        <v xml:space="preserve"> </v>
      </c>
      <c r="I22" s="129"/>
      <c r="J22" s="110"/>
      <c r="K22" s="89"/>
      <c r="L22" s="51"/>
      <c r="M22" s="90"/>
      <c r="N22" s="17"/>
      <c r="O22" s="18" t="str">
        <f>IF(N22&lt;30,"V"," ")</f>
        <v>V</v>
      </c>
      <c r="S22" s="66">
        <f>SUMIFS(F4:F37,H4:H37,"v")</f>
        <v>8080</v>
      </c>
    </row>
    <row r="23" spans="2:19" ht="35.1" customHeight="1">
      <c r="B23" s="25" t="s">
        <v>15</v>
      </c>
      <c r="C23" s="20">
        <v>2040</v>
      </c>
      <c r="D23" s="89" t="s">
        <v>50</v>
      </c>
      <c r="E23" s="51">
        <f t="shared" si="4"/>
        <v>1800</v>
      </c>
      <c r="F23" s="90">
        <f t="shared" si="0"/>
        <v>2100</v>
      </c>
      <c r="G23" s="17">
        <v>30</v>
      </c>
      <c r="H23" s="18" t="str">
        <f t="shared" si="5"/>
        <v xml:space="preserve"> </v>
      </c>
      <c r="I23" s="202" t="s">
        <v>51</v>
      </c>
      <c r="J23" s="203"/>
      <c r="K23" s="203"/>
      <c r="L23" s="203"/>
      <c r="M23" s="203"/>
      <c r="N23" s="203"/>
      <c r="O23" s="204"/>
      <c r="S23" s="71">
        <f>SUMIFS(M4:M16,O4:O16,"v")</f>
        <v>2880</v>
      </c>
    </row>
    <row r="24" spans="2:19" ht="35.1" customHeight="1">
      <c r="B24" s="25" t="s">
        <v>15</v>
      </c>
      <c r="C24" s="20">
        <v>1041</v>
      </c>
      <c r="D24" s="89" t="s">
        <v>52</v>
      </c>
      <c r="E24" s="51">
        <f t="shared" si="4"/>
        <v>1800</v>
      </c>
      <c r="F24" s="90">
        <f t="shared" si="0"/>
        <v>2100</v>
      </c>
      <c r="G24" s="17">
        <v>30</v>
      </c>
      <c r="H24" s="18" t="str">
        <f t="shared" si="5"/>
        <v xml:space="preserve"> </v>
      </c>
      <c r="I24" s="111" t="s">
        <v>53</v>
      </c>
      <c r="J24" s="112">
        <v>7021</v>
      </c>
      <c r="K24" s="21" t="s">
        <v>55</v>
      </c>
      <c r="L24" s="51">
        <v>1100</v>
      </c>
      <c r="M24" s="22">
        <f t="shared" ref="M24:M29" si="9">L24+300</f>
        <v>1400</v>
      </c>
      <c r="N24" s="23"/>
      <c r="O24" s="113"/>
      <c r="S24" s="123">
        <f>SUMIFS(M20:M21,O20:O21,"v")</f>
        <v>2040</v>
      </c>
    </row>
    <row r="25" spans="2:19" ht="35.1" customHeight="1" thickBot="1">
      <c r="B25" s="25" t="s">
        <v>15</v>
      </c>
      <c r="C25" s="20">
        <v>1069</v>
      </c>
      <c r="D25" s="89" t="s">
        <v>145</v>
      </c>
      <c r="E25" s="51">
        <f t="shared" si="4"/>
        <v>1800</v>
      </c>
      <c r="F25" s="90">
        <f t="shared" si="0"/>
        <v>2100</v>
      </c>
      <c r="G25" s="17">
        <v>30</v>
      </c>
      <c r="H25" s="18" t="str">
        <f t="shared" si="5"/>
        <v xml:space="preserve"> </v>
      </c>
      <c r="I25" s="50" t="s">
        <v>15</v>
      </c>
      <c r="J25" s="112">
        <v>7034</v>
      </c>
      <c r="K25" s="21" t="s">
        <v>140</v>
      </c>
      <c r="L25" s="51">
        <v>1100</v>
      </c>
      <c r="M25" s="22">
        <f>L25+300</f>
        <v>1400</v>
      </c>
      <c r="N25" s="23"/>
      <c r="O25" s="113"/>
      <c r="Q25" s="76"/>
      <c r="R25" s="122" t="s">
        <v>56</v>
      </c>
      <c r="S25" s="73">
        <f>SUM(S22,S23,S24)</f>
        <v>13000</v>
      </c>
    </row>
    <row r="26" spans="2:19" ht="35.1" customHeight="1" thickTop="1">
      <c r="B26" s="25" t="s">
        <v>15</v>
      </c>
      <c r="C26" s="20" t="s">
        <v>162</v>
      </c>
      <c r="D26" s="89" t="s">
        <v>161</v>
      </c>
      <c r="E26" s="51">
        <f>1800/30*G26</f>
        <v>780</v>
      </c>
      <c r="F26" s="90">
        <f>E26+300</f>
        <v>1080</v>
      </c>
      <c r="G26" s="17">
        <v>13</v>
      </c>
      <c r="H26" s="18" t="str">
        <f t="shared" si="5"/>
        <v>V</v>
      </c>
      <c r="I26" s="50" t="s">
        <v>15</v>
      </c>
      <c r="J26" s="112">
        <v>7017</v>
      </c>
      <c r="K26" s="21" t="s">
        <v>70</v>
      </c>
      <c r="L26" s="51">
        <v>1100</v>
      </c>
      <c r="M26" s="22">
        <f t="shared" si="9"/>
        <v>1400</v>
      </c>
      <c r="N26" s="23"/>
      <c r="O26" s="143"/>
    </row>
    <row r="27" spans="2:19" ht="35.1" customHeight="1">
      <c r="B27" s="25"/>
      <c r="C27" s="20"/>
      <c r="D27" s="89"/>
      <c r="E27" s="51"/>
      <c r="F27" s="90"/>
      <c r="G27" s="17"/>
      <c r="H27" s="18" t="str">
        <f t="shared" si="5"/>
        <v>V</v>
      </c>
      <c r="I27" s="114" t="s">
        <v>15</v>
      </c>
      <c r="J27" s="112">
        <v>7019</v>
      </c>
      <c r="K27" s="30" t="s">
        <v>72</v>
      </c>
      <c r="L27" s="51">
        <v>1000</v>
      </c>
      <c r="M27" s="22">
        <f t="shared" si="9"/>
        <v>1300</v>
      </c>
      <c r="N27" s="23"/>
      <c r="O27" s="135"/>
      <c r="Q27" s="124"/>
      <c r="R27" s="124" t="s">
        <v>62</v>
      </c>
      <c r="S27" s="125">
        <f>SUM(M24:M37)</f>
        <v>19400</v>
      </c>
    </row>
    <row r="28" spans="2:19" ht="35.1" customHeight="1" thickBot="1">
      <c r="B28" s="19"/>
      <c r="C28" s="20"/>
      <c r="D28" s="89"/>
      <c r="E28" s="51">
        <f t="shared" si="4"/>
        <v>0</v>
      </c>
      <c r="F28" s="90"/>
      <c r="G28" s="17"/>
      <c r="H28" s="18" t="str">
        <f t="shared" si="5"/>
        <v>V</v>
      </c>
      <c r="I28" s="114" t="s">
        <v>15</v>
      </c>
      <c r="J28" s="112">
        <v>7020</v>
      </c>
      <c r="K28" s="30" t="s">
        <v>74</v>
      </c>
      <c r="L28" s="51">
        <v>1100</v>
      </c>
      <c r="M28" s="22">
        <f t="shared" si="9"/>
        <v>1400</v>
      </c>
      <c r="N28" s="23"/>
      <c r="O28" s="128"/>
      <c r="R28" s="122" t="s">
        <v>64</v>
      </c>
      <c r="S28" s="126">
        <f>SUM(F4:F37,M4:M16,M20:M21,M24:M36)</f>
        <v>96100</v>
      </c>
    </row>
    <row r="29" spans="2:19" ht="35.1" customHeight="1" thickTop="1">
      <c r="B29" s="19" t="s">
        <v>59</v>
      </c>
      <c r="C29" s="20">
        <v>2015</v>
      </c>
      <c r="D29" s="89" t="s">
        <v>60</v>
      </c>
      <c r="E29" s="51">
        <f t="shared" si="4"/>
        <v>600</v>
      </c>
      <c r="F29" s="90">
        <f t="shared" ref="F29:F33" si="10">E29+300</f>
        <v>900</v>
      </c>
      <c r="G29" s="17">
        <v>10</v>
      </c>
      <c r="H29" s="18" t="str">
        <f t="shared" si="5"/>
        <v>V</v>
      </c>
      <c r="I29" s="114" t="s">
        <v>15</v>
      </c>
      <c r="J29" s="112">
        <v>7036</v>
      </c>
      <c r="K29" s="30" t="s">
        <v>141</v>
      </c>
      <c r="L29" s="51">
        <v>1000</v>
      </c>
      <c r="M29" s="22">
        <f t="shared" si="9"/>
        <v>1300</v>
      </c>
      <c r="N29" s="23"/>
      <c r="O29" s="139"/>
      <c r="R29" s="5" t="s">
        <v>68</v>
      </c>
      <c r="S29" s="76">
        <f>SUM(S20+S25+S27)</f>
        <v>97500</v>
      </c>
    </row>
    <row r="30" spans="2:19" ht="35.1" customHeight="1">
      <c r="B30" s="19"/>
      <c r="C30" s="20">
        <v>2043</v>
      </c>
      <c r="D30" s="89" t="s">
        <v>63</v>
      </c>
      <c r="E30" s="51">
        <f t="shared" si="4"/>
        <v>1800</v>
      </c>
      <c r="F30" s="90">
        <f t="shared" si="10"/>
        <v>2100</v>
      </c>
      <c r="G30" s="17">
        <v>30</v>
      </c>
      <c r="H30" s="18" t="str">
        <f t="shared" si="5"/>
        <v xml:space="preserve"> </v>
      </c>
      <c r="I30" s="114" t="s">
        <v>15</v>
      </c>
      <c r="J30" s="112" t="s">
        <v>170</v>
      </c>
      <c r="K30" s="141" t="s">
        <v>169</v>
      </c>
      <c r="L30" s="51">
        <v>1100</v>
      </c>
      <c r="M30" s="22">
        <f>L30+300</f>
        <v>1400</v>
      </c>
      <c r="N30" s="23"/>
      <c r="O30" s="113"/>
    </row>
    <row r="31" spans="2:19" ht="35.1" customHeight="1">
      <c r="B31" s="19" t="s">
        <v>65</v>
      </c>
      <c r="C31" s="20">
        <v>2013</v>
      </c>
      <c r="D31" s="89" t="s">
        <v>66</v>
      </c>
      <c r="E31" s="51">
        <f t="shared" si="4"/>
        <v>600</v>
      </c>
      <c r="F31" s="90">
        <f t="shared" si="10"/>
        <v>900</v>
      </c>
      <c r="G31" s="17">
        <v>10</v>
      </c>
      <c r="H31" s="18" t="str">
        <f t="shared" si="5"/>
        <v>V</v>
      </c>
      <c r="I31" s="114" t="s">
        <v>15</v>
      </c>
      <c r="J31" s="112" t="s">
        <v>172</v>
      </c>
      <c r="K31" s="141" t="s">
        <v>173</v>
      </c>
      <c r="L31" s="51">
        <v>1100</v>
      </c>
      <c r="M31" s="22">
        <f>L31+300</f>
        <v>1400</v>
      </c>
      <c r="N31" s="23"/>
      <c r="O31" s="113"/>
    </row>
    <row r="32" spans="2:19" ht="35.1" customHeight="1">
      <c r="B32" s="25" t="s">
        <v>15</v>
      </c>
      <c r="C32" s="20">
        <v>2014</v>
      </c>
      <c r="D32" s="89" t="s">
        <v>69</v>
      </c>
      <c r="E32" s="51">
        <f t="shared" si="4"/>
        <v>1800</v>
      </c>
      <c r="F32" s="90">
        <f t="shared" si="10"/>
        <v>2100</v>
      </c>
      <c r="G32" s="17">
        <v>30</v>
      </c>
      <c r="H32" s="18" t="str">
        <f t="shared" si="5"/>
        <v xml:space="preserve"> </v>
      </c>
      <c r="I32" s="50" t="s">
        <v>15</v>
      </c>
      <c r="J32" s="112">
        <v>7006</v>
      </c>
      <c r="K32" s="21" t="s">
        <v>54</v>
      </c>
      <c r="L32" s="51">
        <v>1100</v>
      </c>
      <c r="M32" s="22">
        <f t="shared" ref="M32:M37" si="11">L32+300</f>
        <v>1400</v>
      </c>
      <c r="N32" s="23"/>
      <c r="O32" s="113"/>
      <c r="P32" s="115"/>
      <c r="R32" s="3" t="s">
        <v>8</v>
      </c>
    </row>
    <row r="33" spans="1:17" ht="35.1" customHeight="1">
      <c r="B33" s="25" t="s">
        <v>15</v>
      </c>
      <c r="C33" s="20">
        <v>2045</v>
      </c>
      <c r="D33" s="89" t="s">
        <v>71</v>
      </c>
      <c r="E33" s="51">
        <f t="shared" si="4"/>
        <v>1800</v>
      </c>
      <c r="F33" s="90">
        <f t="shared" si="10"/>
        <v>2100</v>
      </c>
      <c r="G33" s="23">
        <v>30</v>
      </c>
      <c r="H33" s="18" t="str">
        <f t="shared" si="5"/>
        <v xml:space="preserve"> </v>
      </c>
      <c r="I33" s="50" t="s">
        <v>15</v>
      </c>
      <c r="J33" s="112">
        <v>7016</v>
      </c>
      <c r="K33" s="21" t="s">
        <v>61</v>
      </c>
      <c r="L33" s="51">
        <v>1100</v>
      </c>
      <c r="M33" s="22">
        <f t="shared" si="11"/>
        <v>1400</v>
      </c>
      <c r="N33" s="23"/>
      <c r="O33" s="113"/>
      <c r="P33" s="116"/>
    </row>
    <row r="34" spans="1:17" ht="35.1" customHeight="1">
      <c r="B34" s="91" t="s">
        <v>57</v>
      </c>
      <c r="C34" s="20">
        <v>2020</v>
      </c>
      <c r="D34" s="89" t="s">
        <v>58</v>
      </c>
      <c r="E34" s="51">
        <f t="shared" ref="E34" si="12">1800/30*G34</f>
        <v>1800</v>
      </c>
      <c r="F34" s="90">
        <f t="shared" ref="F34" si="13">E34+300</f>
        <v>2100</v>
      </c>
      <c r="G34" s="23">
        <v>30</v>
      </c>
      <c r="H34" s="18" t="str">
        <f t="shared" ref="H34" si="14">IF(G34&lt;30,"V"," ")</f>
        <v xml:space="preserve"> </v>
      </c>
      <c r="I34" s="114" t="s">
        <v>15</v>
      </c>
      <c r="J34" s="112">
        <v>7012</v>
      </c>
      <c r="K34" s="21" t="s">
        <v>67</v>
      </c>
      <c r="L34" s="51">
        <v>1100</v>
      </c>
      <c r="M34" s="22">
        <f t="shared" si="11"/>
        <v>1400</v>
      </c>
      <c r="N34" s="118"/>
      <c r="O34" s="113"/>
      <c r="P34" s="117"/>
    </row>
    <row r="35" spans="1:17" ht="35.1" customHeight="1">
      <c r="B35" s="91"/>
      <c r="C35" s="20"/>
      <c r="D35" s="89"/>
      <c r="E35" s="51"/>
      <c r="F35" s="90"/>
      <c r="G35" s="23"/>
      <c r="H35" s="18"/>
      <c r="I35" s="114" t="s">
        <v>15</v>
      </c>
      <c r="J35" s="112">
        <v>7022</v>
      </c>
      <c r="K35" s="30" t="s">
        <v>75</v>
      </c>
      <c r="L35" s="51">
        <v>1100</v>
      </c>
      <c r="M35" s="22">
        <f t="shared" si="11"/>
        <v>1400</v>
      </c>
      <c r="N35" s="118"/>
      <c r="O35" s="113"/>
    </row>
    <row r="36" spans="1:17" ht="35.1" customHeight="1">
      <c r="B36" s="91"/>
      <c r="C36" s="20"/>
      <c r="D36" s="89"/>
      <c r="E36" s="51"/>
      <c r="F36" s="90"/>
      <c r="G36" s="23"/>
      <c r="H36" s="18" t="str">
        <f t="shared" si="5"/>
        <v>V</v>
      </c>
      <c r="I36" s="151" t="s">
        <v>15</v>
      </c>
      <c r="J36" s="112">
        <v>7027</v>
      </c>
      <c r="K36" s="107" t="s">
        <v>76</v>
      </c>
      <c r="L36" s="51">
        <v>1100</v>
      </c>
      <c r="M36" s="22">
        <f t="shared" si="11"/>
        <v>1400</v>
      </c>
      <c r="N36" s="154"/>
      <c r="O36" s="155"/>
    </row>
    <row r="37" spans="1:17" ht="35.1" customHeight="1" thickBot="1">
      <c r="B37" s="91"/>
      <c r="C37" s="20"/>
      <c r="D37" s="89"/>
      <c r="E37" s="51"/>
      <c r="F37" s="90"/>
      <c r="G37" s="146"/>
      <c r="H37" s="147"/>
      <c r="I37" s="55" t="s">
        <v>15</v>
      </c>
      <c r="J37" s="152">
        <v>7041</v>
      </c>
      <c r="K37" s="153" t="s">
        <v>146</v>
      </c>
      <c r="L37" s="150">
        <v>1100</v>
      </c>
      <c r="M37" s="33">
        <f t="shared" si="11"/>
        <v>1400</v>
      </c>
      <c r="N37" s="148"/>
      <c r="O37" s="149"/>
    </row>
    <row r="38" spans="1:17" s="2" customFormat="1" ht="25.15" customHeight="1" thickTop="1">
      <c r="A38" s="2" t="s">
        <v>8</v>
      </c>
      <c r="B38" s="205" t="s">
        <v>193</v>
      </c>
      <c r="C38" s="205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61" t="s">
        <v>77</v>
      </c>
      <c r="Q38" s="77" t="s">
        <v>78</v>
      </c>
    </row>
    <row r="39" spans="1:17" s="2" customFormat="1" ht="24.6" customHeight="1">
      <c r="B39" s="187" t="s">
        <v>194</v>
      </c>
      <c r="C39" s="187"/>
      <c r="D39" s="187"/>
      <c r="E39" s="187"/>
      <c r="F39" s="187"/>
      <c r="G39" s="187"/>
      <c r="H39" s="187"/>
      <c r="I39" s="187"/>
      <c r="J39" s="187"/>
      <c r="K39" s="187"/>
      <c r="L39" s="187"/>
      <c r="M39" s="187"/>
      <c r="N39" s="187"/>
      <c r="O39" s="187"/>
      <c r="P39" s="62"/>
      <c r="Q39" s="77" t="s">
        <v>79</v>
      </c>
    </row>
    <row r="40" spans="1:17" s="2" customFormat="1" ht="24.6" customHeight="1">
      <c r="B40" s="186" t="s">
        <v>188</v>
      </c>
      <c r="C40" s="186"/>
      <c r="D40" s="186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</row>
    <row r="41" spans="1:17" s="2" customFormat="1" ht="24.6" customHeight="1">
      <c r="B41" s="186" t="s">
        <v>195</v>
      </c>
      <c r="C41" s="186"/>
      <c r="D41" s="186"/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86"/>
    </row>
  </sheetData>
  <mergeCells count="8">
    <mergeCell ref="B40:O40"/>
    <mergeCell ref="B41:O41"/>
    <mergeCell ref="B1:O1"/>
    <mergeCell ref="L2:O2"/>
    <mergeCell ref="I19:O19"/>
    <mergeCell ref="I23:O23"/>
    <mergeCell ref="B38:O38"/>
    <mergeCell ref="B39:O39"/>
  </mergeCells>
  <phoneticPr fontId="26" type="noConversion"/>
  <conditionalFormatting sqref="G4:G37">
    <cfRule type="cellIs" dxfId="17" priority="2" stopIfTrue="1" operator="lessThan">
      <formula>30</formula>
    </cfRule>
  </conditionalFormatting>
  <conditionalFormatting sqref="N4:N18">
    <cfRule type="cellIs" dxfId="16" priority="1" stopIfTrue="1" operator="lessThan">
      <formula>30</formula>
    </cfRule>
  </conditionalFormatting>
  <conditionalFormatting sqref="N20:N22">
    <cfRule type="cellIs" dxfId="15" priority="5" stopIfTrue="1" operator="lessThan">
      <formula>30</formula>
    </cfRule>
  </conditionalFormatting>
  <printOptions horizontalCentered="1"/>
  <pageMargins left="0.23622047244094499" right="0.23622047244094499" top="0.15748031496063" bottom="0.15748031496063" header="0" footer="0"/>
  <pageSetup scale="62" orientation="portrait" horizontalDpi="180" verticalDpi="18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C3E1-CC42-4585-8763-D0B10F886C56}">
  <sheetPr>
    <pageSetUpPr fitToPage="1"/>
  </sheetPr>
  <dimension ref="A1:W31"/>
  <sheetViews>
    <sheetView zoomScale="70" zoomScaleNormal="70" workbookViewId="0">
      <selection activeCell="Q6" sqref="Q6"/>
    </sheetView>
  </sheetViews>
  <sheetFormatPr defaultColWidth="9" defaultRowHeight="16.5"/>
  <cols>
    <col min="1" max="1" width="1.875" style="3" customWidth="1"/>
    <col min="2" max="2" width="10" style="4" customWidth="1"/>
    <col min="3" max="3" width="9.875" style="4" customWidth="1"/>
    <col min="4" max="4" width="10.875" style="4" customWidth="1"/>
    <col min="5" max="5" width="10.5" style="4" customWidth="1"/>
    <col min="6" max="6" width="11" style="4" customWidth="1"/>
    <col min="7" max="7" width="9.125" style="4" customWidth="1"/>
    <col min="8" max="8" width="10.375" style="4" customWidth="1"/>
    <col min="9" max="9" width="10" style="4" customWidth="1"/>
    <col min="10" max="10" width="9.875" style="4" customWidth="1"/>
    <col min="11" max="11" width="10.875" style="4" customWidth="1"/>
    <col min="12" max="12" width="10.5" style="4" customWidth="1"/>
    <col min="13" max="13" width="11" style="4" customWidth="1"/>
    <col min="14" max="14" width="9" style="4" customWidth="1"/>
    <col min="15" max="15" width="10.5" style="4" customWidth="1"/>
    <col min="16" max="16" width="9" style="3" customWidth="1"/>
    <col min="17" max="17" width="19.125" style="3" customWidth="1"/>
    <col min="18" max="18" width="14" style="5" customWidth="1"/>
    <col min="19" max="19" width="16.75" style="3" customWidth="1"/>
    <col min="20" max="256" width="9" style="3"/>
    <col min="257" max="257" width="1.875" style="3" customWidth="1"/>
    <col min="258" max="258" width="10" style="3" customWidth="1"/>
    <col min="259" max="259" width="9.875" style="3" customWidth="1"/>
    <col min="260" max="260" width="10.875" style="3" customWidth="1"/>
    <col min="261" max="261" width="10.5" style="3" customWidth="1"/>
    <col min="262" max="262" width="11" style="3" customWidth="1"/>
    <col min="263" max="263" width="9.125" style="3" customWidth="1"/>
    <col min="264" max="264" width="10.375" style="3" customWidth="1"/>
    <col min="265" max="265" width="10" style="3" customWidth="1"/>
    <col min="266" max="266" width="9.875" style="3" customWidth="1"/>
    <col min="267" max="267" width="10.875" style="3" customWidth="1"/>
    <col min="268" max="268" width="10.5" style="3" customWidth="1"/>
    <col min="269" max="269" width="11" style="3" customWidth="1"/>
    <col min="270" max="270" width="9" style="3"/>
    <col min="271" max="271" width="10.5" style="3" customWidth="1"/>
    <col min="272" max="272" width="9" style="3"/>
    <col min="273" max="273" width="19.125" style="3" customWidth="1"/>
    <col min="274" max="274" width="14" style="3" customWidth="1"/>
    <col min="275" max="275" width="16.75" style="3" customWidth="1"/>
    <col min="276" max="512" width="9" style="3"/>
    <col min="513" max="513" width="1.875" style="3" customWidth="1"/>
    <col min="514" max="514" width="10" style="3" customWidth="1"/>
    <col min="515" max="515" width="9.875" style="3" customWidth="1"/>
    <col min="516" max="516" width="10.875" style="3" customWidth="1"/>
    <col min="517" max="517" width="10.5" style="3" customWidth="1"/>
    <col min="518" max="518" width="11" style="3" customWidth="1"/>
    <col min="519" max="519" width="9.125" style="3" customWidth="1"/>
    <col min="520" max="520" width="10.375" style="3" customWidth="1"/>
    <col min="521" max="521" width="10" style="3" customWidth="1"/>
    <col min="522" max="522" width="9.875" style="3" customWidth="1"/>
    <col min="523" max="523" width="10.875" style="3" customWidth="1"/>
    <col min="524" max="524" width="10.5" style="3" customWidth="1"/>
    <col min="525" max="525" width="11" style="3" customWidth="1"/>
    <col min="526" max="526" width="9" style="3"/>
    <col min="527" max="527" width="10.5" style="3" customWidth="1"/>
    <col min="528" max="528" width="9" style="3"/>
    <col min="529" max="529" width="19.125" style="3" customWidth="1"/>
    <col min="530" max="530" width="14" style="3" customWidth="1"/>
    <col min="531" max="531" width="16.75" style="3" customWidth="1"/>
    <col min="532" max="768" width="9" style="3"/>
    <col min="769" max="769" width="1.875" style="3" customWidth="1"/>
    <col min="770" max="770" width="10" style="3" customWidth="1"/>
    <col min="771" max="771" width="9.875" style="3" customWidth="1"/>
    <col min="772" max="772" width="10.875" style="3" customWidth="1"/>
    <col min="773" max="773" width="10.5" style="3" customWidth="1"/>
    <col min="774" max="774" width="11" style="3" customWidth="1"/>
    <col min="775" max="775" width="9.125" style="3" customWidth="1"/>
    <col min="776" max="776" width="10.375" style="3" customWidth="1"/>
    <col min="777" max="777" width="10" style="3" customWidth="1"/>
    <col min="778" max="778" width="9.875" style="3" customWidth="1"/>
    <col min="779" max="779" width="10.875" style="3" customWidth="1"/>
    <col min="780" max="780" width="10.5" style="3" customWidth="1"/>
    <col min="781" max="781" width="11" style="3" customWidth="1"/>
    <col min="782" max="782" width="9" style="3"/>
    <col min="783" max="783" width="10.5" style="3" customWidth="1"/>
    <col min="784" max="784" width="9" style="3"/>
    <col min="785" max="785" width="19.125" style="3" customWidth="1"/>
    <col min="786" max="786" width="14" style="3" customWidth="1"/>
    <col min="787" max="787" width="16.75" style="3" customWidth="1"/>
    <col min="788" max="1024" width="9" style="3"/>
    <col min="1025" max="1025" width="1.875" style="3" customWidth="1"/>
    <col min="1026" max="1026" width="10" style="3" customWidth="1"/>
    <col min="1027" max="1027" width="9.875" style="3" customWidth="1"/>
    <col min="1028" max="1028" width="10.875" style="3" customWidth="1"/>
    <col min="1029" max="1029" width="10.5" style="3" customWidth="1"/>
    <col min="1030" max="1030" width="11" style="3" customWidth="1"/>
    <col min="1031" max="1031" width="9.125" style="3" customWidth="1"/>
    <col min="1032" max="1032" width="10.375" style="3" customWidth="1"/>
    <col min="1033" max="1033" width="10" style="3" customWidth="1"/>
    <col min="1034" max="1034" width="9.875" style="3" customWidth="1"/>
    <col min="1035" max="1035" width="10.875" style="3" customWidth="1"/>
    <col min="1036" max="1036" width="10.5" style="3" customWidth="1"/>
    <col min="1037" max="1037" width="11" style="3" customWidth="1"/>
    <col min="1038" max="1038" width="9" style="3"/>
    <col min="1039" max="1039" width="10.5" style="3" customWidth="1"/>
    <col min="1040" max="1040" width="9" style="3"/>
    <col min="1041" max="1041" width="19.125" style="3" customWidth="1"/>
    <col min="1042" max="1042" width="14" style="3" customWidth="1"/>
    <col min="1043" max="1043" width="16.75" style="3" customWidth="1"/>
    <col min="1044" max="1280" width="9" style="3"/>
    <col min="1281" max="1281" width="1.875" style="3" customWidth="1"/>
    <col min="1282" max="1282" width="10" style="3" customWidth="1"/>
    <col min="1283" max="1283" width="9.875" style="3" customWidth="1"/>
    <col min="1284" max="1284" width="10.875" style="3" customWidth="1"/>
    <col min="1285" max="1285" width="10.5" style="3" customWidth="1"/>
    <col min="1286" max="1286" width="11" style="3" customWidth="1"/>
    <col min="1287" max="1287" width="9.125" style="3" customWidth="1"/>
    <col min="1288" max="1288" width="10.375" style="3" customWidth="1"/>
    <col min="1289" max="1289" width="10" style="3" customWidth="1"/>
    <col min="1290" max="1290" width="9.875" style="3" customWidth="1"/>
    <col min="1291" max="1291" width="10.875" style="3" customWidth="1"/>
    <col min="1292" max="1292" width="10.5" style="3" customWidth="1"/>
    <col min="1293" max="1293" width="11" style="3" customWidth="1"/>
    <col min="1294" max="1294" width="9" style="3"/>
    <col min="1295" max="1295" width="10.5" style="3" customWidth="1"/>
    <col min="1296" max="1296" width="9" style="3"/>
    <col min="1297" max="1297" width="19.125" style="3" customWidth="1"/>
    <col min="1298" max="1298" width="14" style="3" customWidth="1"/>
    <col min="1299" max="1299" width="16.75" style="3" customWidth="1"/>
    <col min="1300" max="1536" width="9" style="3"/>
    <col min="1537" max="1537" width="1.875" style="3" customWidth="1"/>
    <col min="1538" max="1538" width="10" style="3" customWidth="1"/>
    <col min="1539" max="1539" width="9.875" style="3" customWidth="1"/>
    <col min="1540" max="1540" width="10.875" style="3" customWidth="1"/>
    <col min="1541" max="1541" width="10.5" style="3" customWidth="1"/>
    <col min="1542" max="1542" width="11" style="3" customWidth="1"/>
    <col min="1543" max="1543" width="9.125" style="3" customWidth="1"/>
    <col min="1544" max="1544" width="10.375" style="3" customWidth="1"/>
    <col min="1545" max="1545" width="10" style="3" customWidth="1"/>
    <col min="1546" max="1546" width="9.875" style="3" customWidth="1"/>
    <col min="1547" max="1547" width="10.875" style="3" customWidth="1"/>
    <col min="1548" max="1548" width="10.5" style="3" customWidth="1"/>
    <col min="1549" max="1549" width="11" style="3" customWidth="1"/>
    <col min="1550" max="1550" width="9" style="3"/>
    <col min="1551" max="1551" width="10.5" style="3" customWidth="1"/>
    <col min="1552" max="1552" width="9" style="3"/>
    <col min="1553" max="1553" width="19.125" style="3" customWidth="1"/>
    <col min="1554" max="1554" width="14" style="3" customWidth="1"/>
    <col min="1555" max="1555" width="16.75" style="3" customWidth="1"/>
    <col min="1556" max="1792" width="9" style="3"/>
    <col min="1793" max="1793" width="1.875" style="3" customWidth="1"/>
    <col min="1794" max="1794" width="10" style="3" customWidth="1"/>
    <col min="1795" max="1795" width="9.875" style="3" customWidth="1"/>
    <col min="1796" max="1796" width="10.875" style="3" customWidth="1"/>
    <col min="1797" max="1797" width="10.5" style="3" customWidth="1"/>
    <col min="1798" max="1798" width="11" style="3" customWidth="1"/>
    <col min="1799" max="1799" width="9.125" style="3" customWidth="1"/>
    <col min="1800" max="1800" width="10.375" style="3" customWidth="1"/>
    <col min="1801" max="1801" width="10" style="3" customWidth="1"/>
    <col min="1802" max="1802" width="9.875" style="3" customWidth="1"/>
    <col min="1803" max="1803" width="10.875" style="3" customWidth="1"/>
    <col min="1804" max="1804" width="10.5" style="3" customWidth="1"/>
    <col min="1805" max="1805" width="11" style="3" customWidth="1"/>
    <col min="1806" max="1806" width="9" style="3"/>
    <col min="1807" max="1807" width="10.5" style="3" customWidth="1"/>
    <col min="1808" max="1808" width="9" style="3"/>
    <col min="1809" max="1809" width="19.125" style="3" customWidth="1"/>
    <col min="1810" max="1810" width="14" style="3" customWidth="1"/>
    <col min="1811" max="1811" width="16.75" style="3" customWidth="1"/>
    <col min="1812" max="2048" width="9" style="3"/>
    <col min="2049" max="2049" width="1.875" style="3" customWidth="1"/>
    <col min="2050" max="2050" width="10" style="3" customWidth="1"/>
    <col min="2051" max="2051" width="9.875" style="3" customWidth="1"/>
    <col min="2052" max="2052" width="10.875" style="3" customWidth="1"/>
    <col min="2053" max="2053" width="10.5" style="3" customWidth="1"/>
    <col min="2054" max="2054" width="11" style="3" customWidth="1"/>
    <col min="2055" max="2055" width="9.125" style="3" customWidth="1"/>
    <col min="2056" max="2056" width="10.375" style="3" customWidth="1"/>
    <col min="2057" max="2057" width="10" style="3" customWidth="1"/>
    <col min="2058" max="2058" width="9.875" style="3" customWidth="1"/>
    <col min="2059" max="2059" width="10.875" style="3" customWidth="1"/>
    <col min="2060" max="2060" width="10.5" style="3" customWidth="1"/>
    <col min="2061" max="2061" width="11" style="3" customWidth="1"/>
    <col min="2062" max="2062" width="9" style="3"/>
    <col min="2063" max="2063" width="10.5" style="3" customWidth="1"/>
    <col min="2064" max="2064" width="9" style="3"/>
    <col min="2065" max="2065" width="19.125" style="3" customWidth="1"/>
    <col min="2066" max="2066" width="14" style="3" customWidth="1"/>
    <col min="2067" max="2067" width="16.75" style="3" customWidth="1"/>
    <col min="2068" max="2304" width="9" style="3"/>
    <col min="2305" max="2305" width="1.875" style="3" customWidth="1"/>
    <col min="2306" max="2306" width="10" style="3" customWidth="1"/>
    <col min="2307" max="2307" width="9.875" style="3" customWidth="1"/>
    <col min="2308" max="2308" width="10.875" style="3" customWidth="1"/>
    <col min="2309" max="2309" width="10.5" style="3" customWidth="1"/>
    <col min="2310" max="2310" width="11" style="3" customWidth="1"/>
    <col min="2311" max="2311" width="9.125" style="3" customWidth="1"/>
    <col min="2312" max="2312" width="10.375" style="3" customWidth="1"/>
    <col min="2313" max="2313" width="10" style="3" customWidth="1"/>
    <col min="2314" max="2314" width="9.875" style="3" customWidth="1"/>
    <col min="2315" max="2315" width="10.875" style="3" customWidth="1"/>
    <col min="2316" max="2316" width="10.5" style="3" customWidth="1"/>
    <col min="2317" max="2317" width="11" style="3" customWidth="1"/>
    <col min="2318" max="2318" width="9" style="3"/>
    <col min="2319" max="2319" width="10.5" style="3" customWidth="1"/>
    <col min="2320" max="2320" width="9" style="3"/>
    <col min="2321" max="2321" width="19.125" style="3" customWidth="1"/>
    <col min="2322" max="2322" width="14" style="3" customWidth="1"/>
    <col min="2323" max="2323" width="16.75" style="3" customWidth="1"/>
    <col min="2324" max="2560" width="9" style="3"/>
    <col min="2561" max="2561" width="1.875" style="3" customWidth="1"/>
    <col min="2562" max="2562" width="10" style="3" customWidth="1"/>
    <col min="2563" max="2563" width="9.875" style="3" customWidth="1"/>
    <col min="2564" max="2564" width="10.875" style="3" customWidth="1"/>
    <col min="2565" max="2565" width="10.5" style="3" customWidth="1"/>
    <col min="2566" max="2566" width="11" style="3" customWidth="1"/>
    <col min="2567" max="2567" width="9.125" style="3" customWidth="1"/>
    <col min="2568" max="2568" width="10.375" style="3" customWidth="1"/>
    <col min="2569" max="2569" width="10" style="3" customWidth="1"/>
    <col min="2570" max="2570" width="9.875" style="3" customWidth="1"/>
    <col min="2571" max="2571" width="10.875" style="3" customWidth="1"/>
    <col min="2572" max="2572" width="10.5" style="3" customWidth="1"/>
    <col min="2573" max="2573" width="11" style="3" customWidth="1"/>
    <col min="2574" max="2574" width="9" style="3"/>
    <col min="2575" max="2575" width="10.5" style="3" customWidth="1"/>
    <col min="2576" max="2576" width="9" style="3"/>
    <col min="2577" max="2577" width="19.125" style="3" customWidth="1"/>
    <col min="2578" max="2578" width="14" style="3" customWidth="1"/>
    <col min="2579" max="2579" width="16.75" style="3" customWidth="1"/>
    <col min="2580" max="2816" width="9" style="3"/>
    <col min="2817" max="2817" width="1.875" style="3" customWidth="1"/>
    <col min="2818" max="2818" width="10" style="3" customWidth="1"/>
    <col min="2819" max="2819" width="9.875" style="3" customWidth="1"/>
    <col min="2820" max="2820" width="10.875" style="3" customWidth="1"/>
    <col min="2821" max="2821" width="10.5" style="3" customWidth="1"/>
    <col min="2822" max="2822" width="11" style="3" customWidth="1"/>
    <col min="2823" max="2823" width="9.125" style="3" customWidth="1"/>
    <col min="2824" max="2824" width="10.375" style="3" customWidth="1"/>
    <col min="2825" max="2825" width="10" style="3" customWidth="1"/>
    <col min="2826" max="2826" width="9.875" style="3" customWidth="1"/>
    <col min="2827" max="2827" width="10.875" style="3" customWidth="1"/>
    <col min="2828" max="2828" width="10.5" style="3" customWidth="1"/>
    <col min="2829" max="2829" width="11" style="3" customWidth="1"/>
    <col min="2830" max="2830" width="9" style="3"/>
    <col min="2831" max="2831" width="10.5" style="3" customWidth="1"/>
    <col min="2832" max="2832" width="9" style="3"/>
    <col min="2833" max="2833" width="19.125" style="3" customWidth="1"/>
    <col min="2834" max="2834" width="14" style="3" customWidth="1"/>
    <col min="2835" max="2835" width="16.75" style="3" customWidth="1"/>
    <col min="2836" max="3072" width="9" style="3"/>
    <col min="3073" max="3073" width="1.875" style="3" customWidth="1"/>
    <col min="3074" max="3074" width="10" style="3" customWidth="1"/>
    <col min="3075" max="3075" width="9.875" style="3" customWidth="1"/>
    <col min="3076" max="3076" width="10.875" style="3" customWidth="1"/>
    <col min="3077" max="3077" width="10.5" style="3" customWidth="1"/>
    <col min="3078" max="3078" width="11" style="3" customWidth="1"/>
    <col min="3079" max="3079" width="9.125" style="3" customWidth="1"/>
    <col min="3080" max="3080" width="10.375" style="3" customWidth="1"/>
    <col min="3081" max="3081" width="10" style="3" customWidth="1"/>
    <col min="3082" max="3082" width="9.875" style="3" customWidth="1"/>
    <col min="3083" max="3083" width="10.875" style="3" customWidth="1"/>
    <col min="3084" max="3084" width="10.5" style="3" customWidth="1"/>
    <col min="3085" max="3085" width="11" style="3" customWidth="1"/>
    <col min="3086" max="3086" width="9" style="3"/>
    <col min="3087" max="3087" width="10.5" style="3" customWidth="1"/>
    <col min="3088" max="3088" width="9" style="3"/>
    <col min="3089" max="3089" width="19.125" style="3" customWidth="1"/>
    <col min="3090" max="3090" width="14" style="3" customWidth="1"/>
    <col min="3091" max="3091" width="16.75" style="3" customWidth="1"/>
    <col min="3092" max="3328" width="9" style="3"/>
    <col min="3329" max="3329" width="1.875" style="3" customWidth="1"/>
    <col min="3330" max="3330" width="10" style="3" customWidth="1"/>
    <col min="3331" max="3331" width="9.875" style="3" customWidth="1"/>
    <col min="3332" max="3332" width="10.875" style="3" customWidth="1"/>
    <col min="3333" max="3333" width="10.5" style="3" customWidth="1"/>
    <col min="3334" max="3334" width="11" style="3" customWidth="1"/>
    <col min="3335" max="3335" width="9.125" style="3" customWidth="1"/>
    <col min="3336" max="3336" width="10.375" style="3" customWidth="1"/>
    <col min="3337" max="3337" width="10" style="3" customWidth="1"/>
    <col min="3338" max="3338" width="9.875" style="3" customWidth="1"/>
    <col min="3339" max="3339" width="10.875" style="3" customWidth="1"/>
    <col min="3340" max="3340" width="10.5" style="3" customWidth="1"/>
    <col min="3341" max="3341" width="11" style="3" customWidth="1"/>
    <col min="3342" max="3342" width="9" style="3"/>
    <col min="3343" max="3343" width="10.5" style="3" customWidth="1"/>
    <col min="3344" max="3344" width="9" style="3"/>
    <col min="3345" max="3345" width="19.125" style="3" customWidth="1"/>
    <col min="3346" max="3346" width="14" style="3" customWidth="1"/>
    <col min="3347" max="3347" width="16.75" style="3" customWidth="1"/>
    <col min="3348" max="3584" width="9" style="3"/>
    <col min="3585" max="3585" width="1.875" style="3" customWidth="1"/>
    <col min="3586" max="3586" width="10" style="3" customWidth="1"/>
    <col min="3587" max="3587" width="9.875" style="3" customWidth="1"/>
    <col min="3588" max="3588" width="10.875" style="3" customWidth="1"/>
    <col min="3589" max="3589" width="10.5" style="3" customWidth="1"/>
    <col min="3590" max="3590" width="11" style="3" customWidth="1"/>
    <col min="3591" max="3591" width="9.125" style="3" customWidth="1"/>
    <col min="3592" max="3592" width="10.375" style="3" customWidth="1"/>
    <col min="3593" max="3593" width="10" style="3" customWidth="1"/>
    <col min="3594" max="3594" width="9.875" style="3" customWidth="1"/>
    <col min="3595" max="3595" width="10.875" style="3" customWidth="1"/>
    <col min="3596" max="3596" width="10.5" style="3" customWidth="1"/>
    <col min="3597" max="3597" width="11" style="3" customWidth="1"/>
    <col min="3598" max="3598" width="9" style="3"/>
    <col min="3599" max="3599" width="10.5" style="3" customWidth="1"/>
    <col min="3600" max="3600" width="9" style="3"/>
    <col min="3601" max="3601" width="19.125" style="3" customWidth="1"/>
    <col min="3602" max="3602" width="14" style="3" customWidth="1"/>
    <col min="3603" max="3603" width="16.75" style="3" customWidth="1"/>
    <col min="3604" max="3840" width="9" style="3"/>
    <col min="3841" max="3841" width="1.875" style="3" customWidth="1"/>
    <col min="3842" max="3842" width="10" style="3" customWidth="1"/>
    <col min="3843" max="3843" width="9.875" style="3" customWidth="1"/>
    <col min="3844" max="3844" width="10.875" style="3" customWidth="1"/>
    <col min="3845" max="3845" width="10.5" style="3" customWidth="1"/>
    <col min="3846" max="3846" width="11" style="3" customWidth="1"/>
    <col min="3847" max="3847" width="9.125" style="3" customWidth="1"/>
    <col min="3848" max="3848" width="10.375" style="3" customWidth="1"/>
    <col min="3849" max="3849" width="10" style="3" customWidth="1"/>
    <col min="3850" max="3850" width="9.875" style="3" customWidth="1"/>
    <col min="3851" max="3851" width="10.875" style="3" customWidth="1"/>
    <col min="3852" max="3852" width="10.5" style="3" customWidth="1"/>
    <col min="3853" max="3853" width="11" style="3" customWidth="1"/>
    <col min="3854" max="3854" width="9" style="3"/>
    <col min="3855" max="3855" width="10.5" style="3" customWidth="1"/>
    <col min="3856" max="3856" width="9" style="3"/>
    <col min="3857" max="3857" width="19.125" style="3" customWidth="1"/>
    <col min="3858" max="3858" width="14" style="3" customWidth="1"/>
    <col min="3859" max="3859" width="16.75" style="3" customWidth="1"/>
    <col min="3860" max="4096" width="9" style="3"/>
    <col min="4097" max="4097" width="1.875" style="3" customWidth="1"/>
    <col min="4098" max="4098" width="10" style="3" customWidth="1"/>
    <col min="4099" max="4099" width="9.875" style="3" customWidth="1"/>
    <col min="4100" max="4100" width="10.875" style="3" customWidth="1"/>
    <col min="4101" max="4101" width="10.5" style="3" customWidth="1"/>
    <col min="4102" max="4102" width="11" style="3" customWidth="1"/>
    <col min="4103" max="4103" width="9.125" style="3" customWidth="1"/>
    <col min="4104" max="4104" width="10.375" style="3" customWidth="1"/>
    <col min="4105" max="4105" width="10" style="3" customWidth="1"/>
    <col min="4106" max="4106" width="9.875" style="3" customWidth="1"/>
    <col min="4107" max="4107" width="10.875" style="3" customWidth="1"/>
    <col min="4108" max="4108" width="10.5" style="3" customWidth="1"/>
    <col min="4109" max="4109" width="11" style="3" customWidth="1"/>
    <col min="4110" max="4110" width="9" style="3"/>
    <col min="4111" max="4111" width="10.5" style="3" customWidth="1"/>
    <col min="4112" max="4112" width="9" style="3"/>
    <col min="4113" max="4113" width="19.125" style="3" customWidth="1"/>
    <col min="4114" max="4114" width="14" style="3" customWidth="1"/>
    <col min="4115" max="4115" width="16.75" style="3" customWidth="1"/>
    <col min="4116" max="4352" width="9" style="3"/>
    <col min="4353" max="4353" width="1.875" style="3" customWidth="1"/>
    <col min="4354" max="4354" width="10" style="3" customWidth="1"/>
    <col min="4355" max="4355" width="9.875" style="3" customWidth="1"/>
    <col min="4356" max="4356" width="10.875" style="3" customWidth="1"/>
    <col min="4357" max="4357" width="10.5" style="3" customWidth="1"/>
    <col min="4358" max="4358" width="11" style="3" customWidth="1"/>
    <col min="4359" max="4359" width="9.125" style="3" customWidth="1"/>
    <col min="4360" max="4360" width="10.375" style="3" customWidth="1"/>
    <col min="4361" max="4361" width="10" style="3" customWidth="1"/>
    <col min="4362" max="4362" width="9.875" style="3" customWidth="1"/>
    <col min="4363" max="4363" width="10.875" style="3" customWidth="1"/>
    <col min="4364" max="4364" width="10.5" style="3" customWidth="1"/>
    <col min="4365" max="4365" width="11" style="3" customWidth="1"/>
    <col min="4366" max="4366" width="9" style="3"/>
    <col min="4367" max="4367" width="10.5" style="3" customWidth="1"/>
    <col min="4368" max="4368" width="9" style="3"/>
    <col min="4369" max="4369" width="19.125" style="3" customWidth="1"/>
    <col min="4370" max="4370" width="14" style="3" customWidth="1"/>
    <col min="4371" max="4371" width="16.75" style="3" customWidth="1"/>
    <col min="4372" max="4608" width="9" style="3"/>
    <col min="4609" max="4609" width="1.875" style="3" customWidth="1"/>
    <col min="4610" max="4610" width="10" style="3" customWidth="1"/>
    <col min="4611" max="4611" width="9.875" style="3" customWidth="1"/>
    <col min="4612" max="4612" width="10.875" style="3" customWidth="1"/>
    <col min="4613" max="4613" width="10.5" style="3" customWidth="1"/>
    <col min="4614" max="4614" width="11" style="3" customWidth="1"/>
    <col min="4615" max="4615" width="9.125" style="3" customWidth="1"/>
    <col min="4616" max="4616" width="10.375" style="3" customWidth="1"/>
    <col min="4617" max="4617" width="10" style="3" customWidth="1"/>
    <col min="4618" max="4618" width="9.875" style="3" customWidth="1"/>
    <col min="4619" max="4619" width="10.875" style="3" customWidth="1"/>
    <col min="4620" max="4620" width="10.5" style="3" customWidth="1"/>
    <col min="4621" max="4621" width="11" style="3" customWidth="1"/>
    <col min="4622" max="4622" width="9" style="3"/>
    <col min="4623" max="4623" width="10.5" style="3" customWidth="1"/>
    <col min="4624" max="4624" width="9" style="3"/>
    <col min="4625" max="4625" width="19.125" style="3" customWidth="1"/>
    <col min="4626" max="4626" width="14" style="3" customWidth="1"/>
    <col min="4627" max="4627" width="16.75" style="3" customWidth="1"/>
    <col min="4628" max="4864" width="9" style="3"/>
    <col min="4865" max="4865" width="1.875" style="3" customWidth="1"/>
    <col min="4866" max="4866" width="10" style="3" customWidth="1"/>
    <col min="4867" max="4867" width="9.875" style="3" customWidth="1"/>
    <col min="4868" max="4868" width="10.875" style="3" customWidth="1"/>
    <col min="4869" max="4869" width="10.5" style="3" customWidth="1"/>
    <col min="4870" max="4870" width="11" style="3" customWidth="1"/>
    <col min="4871" max="4871" width="9.125" style="3" customWidth="1"/>
    <col min="4872" max="4872" width="10.375" style="3" customWidth="1"/>
    <col min="4873" max="4873" width="10" style="3" customWidth="1"/>
    <col min="4874" max="4874" width="9.875" style="3" customWidth="1"/>
    <col min="4875" max="4875" width="10.875" style="3" customWidth="1"/>
    <col min="4876" max="4876" width="10.5" style="3" customWidth="1"/>
    <col min="4877" max="4877" width="11" style="3" customWidth="1"/>
    <col min="4878" max="4878" width="9" style="3"/>
    <col min="4879" max="4879" width="10.5" style="3" customWidth="1"/>
    <col min="4880" max="4880" width="9" style="3"/>
    <col min="4881" max="4881" width="19.125" style="3" customWidth="1"/>
    <col min="4882" max="4882" width="14" style="3" customWidth="1"/>
    <col min="4883" max="4883" width="16.75" style="3" customWidth="1"/>
    <col min="4884" max="5120" width="9" style="3"/>
    <col min="5121" max="5121" width="1.875" style="3" customWidth="1"/>
    <col min="5122" max="5122" width="10" style="3" customWidth="1"/>
    <col min="5123" max="5123" width="9.875" style="3" customWidth="1"/>
    <col min="5124" max="5124" width="10.875" style="3" customWidth="1"/>
    <col min="5125" max="5125" width="10.5" style="3" customWidth="1"/>
    <col min="5126" max="5126" width="11" style="3" customWidth="1"/>
    <col min="5127" max="5127" width="9.125" style="3" customWidth="1"/>
    <col min="5128" max="5128" width="10.375" style="3" customWidth="1"/>
    <col min="5129" max="5129" width="10" style="3" customWidth="1"/>
    <col min="5130" max="5130" width="9.875" style="3" customWidth="1"/>
    <col min="5131" max="5131" width="10.875" style="3" customWidth="1"/>
    <col min="5132" max="5132" width="10.5" style="3" customWidth="1"/>
    <col min="5133" max="5133" width="11" style="3" customWidth="1"/>
    <col min="5134" max="5134" width="9" style="3"/>
    <col min="5135" max="5135" width="10.5" style="3" customWidth="1"/>
    <col min="5136" max="5136" width="9" style="3"/>
    <col min="5137" max="5137" width="19.125" style="3" customWidth="1"/>
    <col min="5138" max="5138" width="14" style="3" customWidth="1"/>
    <col min="5139" max="5139" width="16.75" style="3" customWidth="1"/>
    <col min="5140" max="5376" width="9" style="3"/>
    <col min="5377" max="5377" width="1.875" style="3" customWidth="1"/>
    <col min="5378" max="5378" width="10" style="3" customWidth="1"/>
    <col min="5379" max="5379" width="9.875" style="3" customWidth="1"/>
    <col min="5380" max="5380" width="10.875" style="3" customWidth="1"/>
    <col min="5381" max="5381" width="10.5" style="3" customWidth="1"/>
    <col min="5382" max="5382" width="11" style="3" customWidth="1"/>
    <col min="5383" max="5383" width="9.125" style="3" customWidth="1"/>
    <col min="5384" max="5384" width="10.375" style="3" customWidth="1"/>
    <col min="5385" max="5385" width="10" style="3" customWidth="1"/>
    <col min="5386" max="5386" width="9.875" style="3" customWidth="1"/>
    <col min="5387" max="5387" width="10.875" style="3" customWidth="1"/>
    <col min="5388" max="5388" width="10.5" style="3" customWidth="1"/>
    <col min="5389" max="5389" width="11" style="3" customWidth="1"/>
    <col min="5390" max="5390" width="9" style="3"/>
    <col min="5391" max="5391" width="10.5" style="3" customWidth="1"/>
    <col min="5392" max="5392" width="9" style="3"/>
    <col min="5393" max="5393" width="19.125" style="3" customWidth="1"/>
    <col min="5394" max="5394" width="14" style="3" customWidth="1"/>
    <col min="5395" max="5395" width="16.75" style="3" customWidth="1"/>
    <col min="5396" max="5632" width="9" style="3"/>
    <col min="5633" max="5633" width="1.875" style="3" customWidth="1"/>
    <col min="5634" max="5634" width="10" style="3" customWidth="1"/>
    <col min="5635" max="5635" width="9.875" style="3" customWidth="1"/>
    <col min="5636" max="5636" width="10.875" style="3" customWidth="1"/>
    <col min="5637" max="5637" width="10.5" style="3" customWidth="1"/>
    <col min="5638" max="5638" width="11" style="3" customWidth="1"/>
    <col min="5639" max="5639" width="9.125" style="3" customWidth="1"/>
    <col min="5640" max="5640" width="10.375" style="3" customWidth="1"/>
    <col min="5641" max="5641" width="10" style="3" customWidth="1"/>
    <col min="5642" max="5642" width="9.875" style="3" customWidth="1"/>
    <col min="5643" max="5643" width="10.875" style="3" customWidth="1"/>
    <col min="5644" max="5644" width="10.5" style="3" customWidth="1"/>
    <col min="5645" max="5645" width="11" style="3" customWidth="1"/>
    <col min="5646" max="5646" width="9" style="3"/>
    <col min="5647" max="5647" width="10.5" style="3" customWidth="1"/>
    <col min="5648" max="5648" width="9" style="3"/>
    <col min="5649" max="5649" width="19.125" style="3" customWidth="1"/>
    <col min="5650" max="5650" width="14" style="3" customWidth="1"/>
    <col min="5651" max="5651" width="16.75" style="3" customWidth="1"/>
    <col min="5652" max="5888" width="9" style="3"/>
    <col min="5889" max="5889" width="1.875" style="3" customWidth="1"/>
    <col min="5890" max="5890" width="10" style="3" customWidth="1"/>
    <col min="5891" max="5891" width="9.875" style="3" customWidth="1"/>
    <col min="5892" max="5892" width="10.875" style="3" customWidth="1"/>
    <col min="5893" max="5893" width="10.5" style="3" customWidth="1"/>
    <col min="5894" max="5894" width="11" style="3" customWidth="1"/>
    <col min="5895" max="5895" width="9.125" style="3" customWidth="1"/>
    <col min="5896" max="5896" width="10.375" style="3" customWidth="1"/>
    <col min="5897" max="5897" width="10" style="3" customWidth="1"/>
    <col min="5898" max="5898" width="9.875" style="3" customWidth="1"/>
    <col min="5899" max="5899" width="10.875" style="3" customWidth="1"/>
    <col min="5900" max="5900" width="10.5" style="3" customWidth="1"/>
    <col min="5901" max="5901" width="11" style="3" customWidth="1"/>
    <col min="5902" max="5902" width="9" style="3"/>
    <col min="5903" max="5903" width="10.5" style="3" customWidth="1"/>
    <col min="5904" max="5904" width="9" style="3"/>
    <col min="5905" max="5905" width="19.125" style="3" customWidth="1"/>
    <col min="5906" max="5906" width="14" style="3" customWidth="1"/>
    <col min="5907" max="5907" width="16.75" style="3" customWidth="1"/>
    <col min="5908" max="6144" width="9" style="3"/>
    <col min="6145" max="6145" width="1.875" style="3" customWidth="1"/>
    <col min="6146" max="6146" width="10" style="3" customWidth="1"/>
    <col min="6147" max="6147" width="9.875" style="3" customWidth="1"/>
    <col min="6148" max="6148" width="10.875" style="3" customWidth="1"/>
    <col min="6149" max="6149" width="10.5" style="3" customWidth="1"/>
    <col min="6150" max="6150" width="11" style="3" customWidth="1"/>
    <col min="6151" max="6151" width="9.125" style="3" customWidth="1"/>
    <col min="6152" max="6152" width="10.375" style="3" customWidth="1"/>
    <col min="6153" max="6153" width="10" style="3" customWidth="1"/>
    <col min="6154" max="6154" width="9.875" style="3" customWidth="1"/>
    <col min="6155" max="6155" width="10.875" style="3" customWidth="1"/>
    <col min="6156" max="6156" width="10.5" style="3" customWidth="1"/>
    <col min="6157" max="6157" width="11" style="3" customWidth="1"/>
    <col min="6158" max="6158" width="9" style="3"/>
    <col min="6159" max="6159" width="10.5" style="3" customWidth="1"/>
    <col min="6160" max="6160" width="9" style="3"/>
    <col min="6161" max="6161" width="19.125" style="3" customWidth="1"/>
    <col min="6162" max="6162" width="14" style="3" customWidth="1"/>
    <col min="6163" max="6163" width="16.75" style="3" customWidth="1"/>
    <col min="6164" max="6400" width="9" style="3"/>
    <col min="6401" max="6401" width="1.875" style="3" customWidth="1"/>
    <col min="6402" max="6402" width="10" style="3" customWidth="1"/>
    <col min="6403" max="6403" width="9.875" style="3" customWidth="1"/>
    <col min="6404" max="6404" width="10.875" style="3" customWidth="1"/>
    <col min="6405" max="6405" width="10.5" style="3" customWidth="1"/>
    <col min="6406" max="6406" width="11" style="3" customWidth="1"/>
    <col min="6407" max="6407" width="9.125" style="3" customWidth="1"/>
    <col min="6408" max="6408" width="10.375" style="3" customWidth="1"/>
    <col min="6409" max="6409" width="10" style="3" customWidth="1"/>
    <col min="6410" max="6410" width="9.875" style="3" customWidth="1"/>
    <col min="6411" max="6411" width="10.875" style="3" customWidth="1"/>
    <col min="6412" max="6412" width="10.5" style="3" customWidth="1"/>
    <col min="6413" max="6413" width="11" style="3" customWidth="1"/>
    <col min="6414" max="6414" width="9" style="3"/>
    <col min="6415" max="6415" width="10.5" style="3" customWidth="1"/>
    <col min="6416" max="6416" width="9" style="3"/>
    <col min="6417" max="6417" width="19.125" style="3" customWidth="1"/>
    <col min="6418" max="6418" width="14" style="3" customWidth="1"/>
    <col min="6419" max="6419" width="16.75" style="3" customWidth="1"/>
    <col min="6420" max="6656" width="9" style="3"/>
    <col min="6657" max="6657" width="1.875" style="3" customWidth="1"/>
    <col min="6658" max="6658" width="10" style="3" customWidth="1"/>
    <col min="6659" max="6659" width="9.875" style="3" customWidth="1"/>
    <col min="6660" max="6660" width="10.875" style="3" customWidth="1"/>
    <col min="6661" max="6661" width="10.5" style="3" customWidth="1"/>
    <col min="6662" max="6662" width="11" style="3" customWidth="1"/>
    <col min="6663" max="6663" width="9.125" style="3" customWidth="1"/>
    <col min="6664" max="6664" width="10.375" style="3" customWidth="1"/>
    <col min="6665" max="6665" width="10" style="3" customWidth="1"/>
    <col min="6666" max="6666" width="9.875" style="3" customWidth="1"/>
    <col min="6667" max="6667" width="10.875" style="3" customWidth="1"/>
    <col min="6668" max="6668" width="10.5" style="3" customWidth="1"/>
    <col min="6669" max="6669" width="11" style="3" customWidth="1"/>
    <col min="6670" max="6670" width="9" style="3"/>
    <col min="6671" max="6671" width="10.5" style="3" customWidth="1"/>
    <col min="6672" max="6672" width="9" style="3"/>
    <col min="6673" max="6673" width="19.125" style="3" customWidth="1"/>
    <col min="6674" max="6674" width="14" style="3" customWidth="1"/>
    <col min="6675" max="6675" width="16.75" style="3" customWidth="1"/>
    <col min="6676" max="6912" width="9" style="3"/>
    <col min="6913" max="6913" width="1.875" style="3" customWidth="1"/>
    <col min="6914" max="6914" width="10" style="3" customWidth="1"/>
    <col min="6915" max="6915" width="9.875" style="3" customWidth="1"/>
    <col min="6916" max="6916" width="10.875" style="3" customWidth="1"/>
    <col min="6917" max="6917" width="10.5" style="3" customWidth="1"/>
    <col min="6918" max="6918" width="11" style="3" customWidth="1"/>
    <col min="6919" max="6919" width="9.125" style="3" customWidth="1"/>
    <col min="6920" max="6920" width="10.375" style="3" customWidth="1"/>
    <col min="6921" max="6921" width="10" style="3" customWidth="1"/>
    <col min="6922" max="6922" width="9.875" style="3" customWidth="1"/>
    <col min="6923" max="6923" width="10.875" style="3" customWidth="1"/>
    <col min="6924" max="6924" width="10.5" style="3" customWidth="1"/>
    <col min="6925" max="6925" width="11" style="3" customWidth="1"/>
    <col min="6926" max="6926" width="9" style="3"/>
    <col min="6927" max="6927" width="10.5" style="3" customWidth="1"/>
    <col min="6928" max="6928" width="9" style="3"/>
    <col min="6929" max="6929" width="19.125" style="3" customWidth="1"/>
    <col min="6930" max="6930" width="14" style="3" customWidth="1"/>
    <col min="6931" max="6931" width="16.75" style="3" customWidth="1"/>
    <col min="6932" max="7168" width="9" style="3"/>
    <col min="7169" max="7169" width="1.875" style="3" customWidth="1"/>
    <col min="7170" max="7170" width="10" style="3" customWidth="1"/>
    <col min="7171" max="7171" width="9.875" style="3" customWidth="1"/>
    <col min="7172" max="7172" width="10.875" style="3" customWidth="1"/>
    <col min="7173" max="7173" width="10.5" style="3" customWidth="1"/>
    <col min="7174" max="7174" width="11" style="3" customWidth="1"/>
    <col min="7175" max="7175" width="9.125" style="3" customWidth="1"/>
    <col min="7176" max="7176" width="10.375" style="3" customWidth="1"/>
    <col min="7177" max="7177" width="10" style="3" customWidth="1"/>
    <col min="7178" max="7178" width="9.875" style="3" customWidth="1"/>
    <col min="7179" max="7179" width="10.875" style="3" customWidth="1"/>
    <col min="7180" max="7180" width="10.5" style="3" customWidth="1"/>
    <col min="7181" max="7181" width="11" style="3" customWidth="1"/>
    <col min="7182" max="7182" width="9" style="3"/>
    <col min="7183" max="7183" width="10.5" style="3" customWidth="1"/>
    <col min="7184" max="7184" width="9" style="3"/>
    <col min="7185" max="7185" width="19.125" style="3" customWidth="1"/>
    <col min="7186" max="7186" width="14" style="3" customWidth="1"/>
    <col min="7187" max="7187" width="16.75" style="3" customWidth="1"/>
    <col min="7188" max="7424" width="9" style="3"/>
    <col min="7425" max="7425" width="1.875" style="3" customWidth="1"/>
    <col min="7426" max="7426" width="10" style="3" customWidth="1"/>
    <col min="7427" max="7427" width="9.875" style="3" customWidth="1"/>
    <col min="7428" max="7428" width="10.875" style="3" customWidth="1"/>
    <col min="7429" max="7429" width="10.5" style="3" customWidth="1"/>
    <col min="7430" max="7430" width="11" style="3" customWidth="1"/>
    <col min="7431" max="7431" width="9.125" style="3" customWidth="1"/>
    <col min="7432" max="7432" width="10.375" style="3" customWidth="1"/>
    <col min="7433" max="7433" width="10" style="3" customWidth="1"/>
    <col min="7434" max="7434" width="9.875" style="3" customWidth="1"/>
    <col min="7435" max="7435" width="10.875" style="3" customWidth="1"/>
    <col min="7436" max="7436" width="10.5" style="3" customWidth="1"/>
    <col min="7437" max="7437" width="11" style="3" customWidth="1"/>
    <col min="7438" max="7438" width="9" style="3"/>
    <col min="7439" max="7439" width="10.5" style="3" customWidth="1"/>
    <col min="7440" max="7440" width="9" style="3"/>
    <col min="7441" max="7441" width="19.125" style="3" customWidth="1"/>
    <col min="7442" max="7442" width="14" style="3" customWidth="1"/>
    <col min="7443" max="7443" width="16.75" style="3" customWidth="1"/>
    <col min="7444" max="7680" width="9" style="3"/>
    <col min="7681" max="7681" width="1.875" style="3" customWidth="1"/>
    <col min="7682" max="7682" width="10" style="3" customWidth="1"/>
    <col min="7683" max="7683" width="9.875" style="3" customWidth="1"/>
    <col min="7684" max="7684" width="10.875" style="3" customWidth="1"/>
    <col min="7685" max="7685" width="10.5" style="3" customWidth="1"/>
    <col min="7686" max="7686" width="11" style="3" customWidth="1"/>
    <col min="7687" max="7687" width="9.125" style="3" customWidth="1"/>
    <col min="7688" max="7688" width="10.375" style="3" customWidth="1"/>
    <col min="7689" max="7689" width="10" style="3" customWidth="1"/>
    <col min="7690" max="7690" width="9.875" style="3" customWidth="1"/>
    <col min="7691" max="7691" width="10.875" style="3" customWidth="1"/>
    <col min="7692" max="7692" width="10.5" style="3" customWidth="1"/>
    <col min="7693" max="7693" width="11" style="3" customWidth="1"/>
    <col min="7694" max="7694" width="9" style="3"/>
    <col min="7695" max="7695" width="10.5" style="3" customWidth="1"/>
    <col min="7696" max="7696" width="9" style="3"/>
    <col min="7697" max="7697" width="19.125" style="3" customWidth="1"/>
    <col min="7698" max="7698" width="14" style="3" customWidth="1"/>
    <col min="7699" max="7699" width="16.75" style="3" customWidth="1"/>
    <col min="7700" max="7936" width="9" style="3"/>
    <col min="7937" max="7937" width="1.875" style="3" customWidth="1"/>
    <col min="7938" max="7938" width="10" style="3" customWidth="1"/>
    <col min="7939" max="7939" width="9.875" style="3" customWidth="1"/>
    <col min="7940" max="7940" width="10.875" style="3" customWidth="1"/>
    <col min="7941" max="7941" width="10.5" style="3" customWidth="1"/>
    <col min="7942" max="7942" width="11" style="3" customWidth="1"/>
    <col min="7943" max="7943" width="9.125" style="3" customWidth="1"/>
    <col min="7944" max="7944" width="10.375" style="3" customWidth="1"/>
    <col min="7945" max="7945" width="10" style="3" customWidth="1"/>
    <col min="7946" max="7946" width="9.875" style="3" customWidth="1"/>
    <col min="7947" max="7947" width="10.875" style="3" customWidth="1"/>
    <col min="7948" max="7948" width="10.5" style="3" customWidth="1"/>
    <col min="7949" max="7949" width="11" style="3" customWidth="1"/>
    <col min="7950" max="7950" width="9" style="3"/>
    <col min="7951" max="7951" width="10.5" style="3" customWidth="1"/>
    <col min="7952" max="7952" width="9" style="3"/>
    <col min="7953" max="7953" width="19.125" style="3" customWidth="1"/>
    <col min="7954" max="7954" width="14" style="3" customWidth="1"/>
    <col min="7955" max="7955" width="16.75" style="3" customWidth="1"/>
    <col min="7956" max="8192" width="9" style="3"/>
    <col min="8193" max="8193" width="1.875" style="3" customWidth="1"/>
    <col min="8194" max="8194" width="10" style="3" customWidth="1"/>
    <col min="8195" max="8195" width="9.875" style="3" customWidth="1"/>
    <col min="8196" max="8196" width="10.875" style="3" customWidth="1"/>
    <col min="8197" max="8197" width="10.5" style="3" customWidth="1"/>
    <col min="8198" max="8198" width="11" style="3" customWidth="1"/>
    <col min="8199" max="8199" width="9.125" style="3" customWidth="1"/>
    <col min="8200" max="8200" width="10.375" style="3" customWidth="1"/>
    <col min="8201" max="8201" width="10" style="3" customWidth="1"/>
    <col min="8202" max="8202" width="9.875" style="3" customWidth="1"/>
    <col min="8203" max="8203" width="10.875" style="3" customWidth="1"/>
    <col min="8204" max="8204" width="10.5" style="3" customWidth="1"/>
    <col min="8205" max="8205" width="11" style="3" customWidth="1"/>
    <col min="8206" max="8206" width="9" style="3"/>
    <col min="8207" max="8207" width="10.5" style="3" customWidth="1"/>
    <col min="8208" max="8208" width="9" style="3"/>
    <col min="8209" max="8209" width="19.125" style="3" customWidth="1"/>
    <col min="8210" max="8210" width="14" style="3" customWidth="1"/>
    <col min="8211" max="8211" width="16.75" style="3" customWidth="1"/>
    <col min="8212" max="8448" width="9" style="3"/>
    <col min="8449" max="8449" width="1.875" style="3" customWidth="1"/>
    <col min="8450" max="8450" width="10" style="3" customWidth="1"/>
    <col min="8451" max="8451" width="9.875" style="3" customWidth="1"/>
    <col min="8452" max="8452" width="10.875" style="3" customWidth="1"/>
    <col min="8453" max="8453" width="10.5" style="3" customWidth="1"/>
    <col min="8454" max="8454" width="11" style="3" customWidth="1"/>
    <col min="8455" max="8455" width="9.125" style="3" customWidth="1"/>
    <col min="8456" max="8456" width="10.375" style="3" customWidth="1"/>
    <col min="8457" max="8457" width="10" style="3" customWidth="1"/>
    <col min="8458" max="8458" width="9.875" style="3" customWidth="1"/>
    <col min="8459" max="8459" width="10.875" style="3" customWidth="1"/>
    <col min="8460" max="8460" width="10.5" style="3" customWidth="1"/>
    <col min="8461" max="8461" width="11" style="3" customWidth="1"/>
    <col min="8462" max="8462" width="9" style="3"/>
    <col min="8463" max="8463" width="10.5" style="3" customWidth="1"/>
    <col min="8464" max="8464" width="9" style="3"/>
    <col min="8465" max="8465" width="19.125" style="3" customWidth="1"/>
    <col min="8466" max="8466" width="14" style="3" customWidth="1"/>
    <col min="8467" max="8467" width="16.75" style="3" customWidth="1"/>
    <col min="8468" max="8704" width="9" style="3"/>
    <col min="8705" max="8705" width="1.875" style="3" customWidth="1"/>
    <col min="8706" max="8706" width="10" style="3" customWidth="1"/>
    <col min="8707" max="8707" width="9.875" style="3" customWidth="1"/>
    <col min="8708" max="8708" width="10.875" style="3" customWidth="1"/>
    <col min="8709" max="8709" width="10.5" style="3" customWidth="1"/>
    <col min="8710" max="8710" width="11" style="3" customWidth="1"/>
    <col min="8711" max="8711" width="9.125" style="3" customWidth="1"/>
    <col min="8712" max="8712" width="10.375" style="3" customWidth="1"/>
    <col min="8713" max="8713" width="10" style="3" customWidth="1"/>
    <col min="8714" max="8714" width="9.875" style="3" customWidth="1"/>
    <col min="8715" max="8715" width="10.875" style="3" customWidth="1"/>
    <col min="8716" max="8716" width="10.5" style="3" customWidth="1"/>
    <col min="8717" max="8717" width="11" style="3" customWidth="1"/>
    <col min="8718" max="8718" width="9" style="3"/>
    <col min="8719" max="8719" width="10.5" style="3" customWidth="1"/>
    <col min="8720" max="8720" width="9" style="3"/>
    <col min="8721" max="8721" width="19.125" style="3" customWidth="1"/>
    <col min="8722" max="8722" width="14" style="3" customWidth="1"/>
    <col min="8723" max="8723" width="16.75" style="3" customWidth="1"/>
    <col min="8724" max="8960" width="9" style="3"/>
    <col min="8961" max="8961" width="1.875" style="3" customWidth="1"/>
    <col min="8962" max="8962" width="10" style="3" customWidth="1"/>
    <col min="8963" max="8963" width="9.875" style="3" customWidth="1"/>
    <col min="8964" max="8964" width="10.875" style="3" customWidth="1"/>
    <col min="8965" max="8965" width="10.5" style="3" customWidth="1"/>
    <col min="8966" max="8966" width="11" style="3" customWidth="1"/>
    <col min="8967" max="8967" width="9.125" style="3" customWidth="1"/>
    <col min="8968" max="8968" width="10.375" style="3" customWidth="1"/>
    <col min="8969" max="8969" width="10" style="3" customWidth="1"/>
    <col min="8970" max="8970" width="9.875" style="3" customWidth="1"/>
    <col min="8971" max="8971" width="10.875" style="3" customWidth="1"/>
    <col min="8972" max="8972" width="10.5" style="3" customWidth="1"/>
    <col min="8973" max="8973" width="11" style="3" customWidth="1"/>
    <col min="8974" max="8974" width="9" style="3"/>
    <col min="8975" max="8975" width="10.5" style="3" customWidth="1"/>
    <col min="8976" max="8976" width="9" style="3"/>
    <col min="8977" max="8977" width="19.125" style="3" customWidth="1"/>
    <col min="8978" max="8978" width="14" style="3" customWidth="1"/>
    <col min="8979" max="8979" width="16.75" style="3" customWidth="1"/>
    <col min="8980" max="9216" width="9" style="3"/>
    <col min="9217" max="9217" width="1.875" style="3" customWidth="1"/>
    <col min="9218" max="9218" width="10" style="3" customWidth="1"/>
    <col min="9219" max="9219" width="9.875" style="3" customWidth="1"/>
    <col min="9220" max="9220" width="10.875" style="3" customWidth="1"/>
    <col min="9221" max="9221" width="10.5" style="3" customWidth="1"/>
    <col min="9222" max="9222" width="11" style="3" customWidth="1"/>
    <col min="9223" max="9223" width="9.125" style="3" customWidth="1"/>
    <col min="9224" max="9224" width="10.375" style="3" customWidth="1"/>
    <col min="9225" max="9225" width="10" style="3" customWidth="1"/>
    <col min="9226" max="9226" width="9.875" style="3" customWidth="1"/>
    <col min="9227" max="9227" width="10.875" style="3" customWidth="1"/>
    <col min="9228" max="9228" width="10.5" style="3" customWidth="1"/>
    <col min="9229" max="9229" width="11" style="3" customWidth="1"/>
    <col min="9230" max="9230" width="9" style="3"/>
    <col min="9231" max="9231" width="10.5" style="3" customWidth="1"/>
    <col min="9232" max="9232" width="9" style="3"/>
    <col min="9233" max="9233" width="19.125" style="3" customWidth="1"/>
    <col min="9234" max="9234" width="14" style="3" customWidth="1"/>
    <col min="9235" max="9235" width="16.75" style="3" customWidth="1"/>
    <col min="9236" max="9472" width="9" style="3"/>
    <col min="9473" max="9473" width="1.875" style="3" customWidth="1"/>
    <col min="9474" max="9474" width="10" style="3" customWidth="1"/>
    <col min="9475" max="9475" width="9.875" style="3" customWidth="1"/>
    <col min="9476" max="9476" width="10.875" style="3" customWidth="1"/>
    <col min="9477" max="9477" width="10.5" style="3" customWidth="1"/>
    <col min="9478" max="9478" width="11" style="3" customWidth="1"/>
    <col min="9479" max="9479" width="9.125" style="3" customWidth="1"/>
    <col min="9480" max="9480" width="10.375" style="3" customWidth="1"/>
    <col min="9481" max="9481" width="10" style="3" customWidth="1"/>
    <col min="9482" max="9482" width="9.875" style="3" customWidth="1"/>
    <col min="9483" max="9483" width="10.875" style="3" customWidth="1"/>
    <col min="9484" max="9484" width="10.5" style="3" customWidth="1"/>
    <col min="9485" max="9485" width="11" style="3" customWidth="1"/>
    <col min="9486" max="9486" width="9" style="3"/>
    <col min="9487" max="9487" width="10.5" style="3" customWidth="1"/>
    <col min="9488" max="9488" width="9" style="3"/>
    <col min="9489" max="9489" width="19.125" style="3" customWidth="1"/>
    <col min="9490" max="9490" width="14" style="3" customWidth="1"/>
    <col min="9491" max="9491" width="16.75" style="3" customWidth="1"/>
    <col min="9492" max="9728" width="9" style="3"/>
    <col min="9729" max="9729" width="1.875" style="3" customWidth="1"/>
    <col min="9730" max="9730" width="10" style="3" customWidth="1"/>
    <col min="9731" max="9731" width="9.875" style="3" customWidth="1"/>
    <col min="9732" max="9732" width="10.875" style="3" customWidth="1"/>
    <col min="9733" max="9733" width="10.5" style="3" customWidth="1"/>
    <col min="9734" max="9734" width="11" style="3" customWidth="1"/>
    <col min="9735" max="9735" width="9.125" style="3" customWidth="1"/>
    <col min="9736" max="9736" width="10.375" style="3" customWidth="1"/>
    <col min="9737" max="9737" width="10" style="3" customWidth="1"/>
    <col min="9738" max="9738" width="9.875" style="3" customWidth="1"/>
    <col min="9739" max="9739" width="10.875" style="3" customWidth="1"/>
    <col min="9740" max="9740" width="10.5" style="3" customWidth="1"/>
    <col min="9741" max="9741" width="11" style="3" customWidth="1"/>
    <col min="9742" max="9742" width="9" style="3"/>
    <col min="9743" max="9743" width="10.5" style="3" customWidth="1"/>
    <col min="9744" max="9744" width="9" style="3"/>
    <col min="9745" max="9745" width="19.125" style="3" customWidth="1"/>
    <col min="9746" max="9746" width="14" style="3" customWidth="1"/>
    <col min="9747" max="9747" width="16.75" style="3" customWidth="1"/>
    <col min="9748" max="9984" width="9" style="3"/>
    <col min="9985" max="9985" width="1.875" style="3" customWidth="1"/>
    <col min="9986" max="9986" width="10" style="3" customWidth="1"/>
    <col min="9987" max="9987" width="9.875" style="3" customWidth="1"/>
    <col min="9988" max="9988" width="10.875" style="3" customWidth="1"/>
    <col min="9989" max="9989" width="10.5" style="3" customWidth="1"/>
    <col min="9990" max="9990" width="11" style="3" customWidth="1"/>
    <col min="9991" max="9991" width="9.125" style="3" customWidth="1"/>
    <col min="9992" max="9992" width="10.375" style="3" customWidth="1"/>
    <col min="9993" max="9993" width="10" style="3" customWidth="1"/>
    <col min="9994" max="9994" width="9.875" style="3" customWidth="1"/>
    <col min="9995" max="9995" width="10.875" style="3" customWidth="1"/>
    <col min="9996" max="9996" width="10.5" style="3" customWidth="1"/>
    <col min="9997" max="9997" width="11" style="3" customWidth="1"/>
    <col min="9998" max="9998" width="9" style="3"/>
    <col min="9999" max="9999" width="10.5" style="3" customWidth="1"/>
    <col min="10000" max="10000" width="9" style="3"/>
    <col min="10001" max="10001" width="19.125" style="3" customWidth="1"/>
    <col min="10002" max="10002" width="14" style="3" customWidth="1"/>
    <col min="10003" max="10003" width="16.75" style="3" customWidth="1"/>
    <col min="10004" max="10240" width="9" style="3"/>
    <col min="10241" max="10241" width="1.875" style="3" customWidth="1"/>
    <col min="10242" max="10242" width="10" style="3" customWidth="1"/>
    <col min="10243" max="10243" width="9.875" style="3" customWidth="1"/>
    <col min="10244" max="10244" width="10.875" style="3" customWidth="1"/>
    <col min="10245" max="10245" width="10.5" style="3" customWidth="1"/>
    <col min="10246" max="10246" width="11" style="3" customWidth="1"/>
    <col min="10247" max="10247" width="9.125" style="3" customWidth="1"/>
    <col min="10248" max="10248" width="10.375" style="3" customWidth="1"/>
    <col min="10249" max="10249" width="10" style="3" customWidth="1"/>
    <col min="10250" max="10250" width="9.875" style="3" customWidth="1"/>
    <col min="10251" max="10251" width="10.875" style="3" customWidth="1"/>
    <col min="10252" max="10252" width="10.5" style="3" customWidth="1"/>
    <col min="10253" max="10253" width="11" style="3" customWidth="1"/>
    <col min="10254" max="10254" width="9" style="3"/>
    <col min="10255" max="10255" width="10.5" style="3" customWidth="1"/>
    <col min="10256" max="10256" width="9" style="3"/>
    <col min="10257" max="10257" width="19.125" style="3" customWidth="1"/>
    <col min="10258" max="10258" width="14" style="3" customWidth="1"/>
    <col min="10259" max="10259" width="16.75" style="3" customWidth="1"/>
    <col min="10260" max="10496" width="9" style="3"/>
    <col min="10497" max="10497" width="1.875" style="3" customWidth="1"/>
    <col min="10498" max="10498" width="10" style="3" customWidth="1"/>
    <col min="10499" max="10499" width="9.875" style="3" customWidth="1"/>
    <col min="10500" max="10500" width="10.875" style="3" customWidth="1"/>
    <col min="10501" max="10501" width="10.5" style="3" customWidth="1"/>
    <col min="10502" max="10502" width="11" style="3" customWidth="1"/>
    <col min="10503" max="10503" width="9.125" style="3" customWidth="1"/>
    <col min="10504" max="10504" width="10.375" style="3" customWidth="1"/>
    <col min="10505" max="10505" width="10" style="3" customWidth="1"/>
    <col min="10506" max="10506" width="9.875" style="3" customWidth="1"/>
    <col min="10507" max="10507" width="10.875" style="3" customWidth="1"/>
    <col min="10508" max="10508" width="10.5" style="3" customWidth="1"/>
    <col min="10509" max="10509" width="11" style="3" customWidth="1"/>
    <col min="10510" max="10510" width="9" style="3"/>
    <col min="10511" max="10511" width="10.5" style="3" customWidth="1"/>
    <col min="10512" max="10512" width="9" style="3"/>
    <col min="10513" max="10513" width="19.125" style="3" customWidth="1"/>
    <col min="10514" max="10514" width="14" style="3" customWidth="1"/>
    <col min="10515" max="10515" width="16.75" style="3" customWidth="1"/>
    <col min="10516" max="10752" width="9" style="3"/>
    <col min="10753" max="10753" width="1.875" style="3" customWidth="1"/>
    <col min="10754" max="10754" width="10" style="3" customWidth="1"/>
    <col min="10755" max="10755" width="9.875" style="3" customWidth="1"/>
    <col min="10756" max="10756" width="10.875" style="3" customWidth="1"/>
    <col min="10757" max="10757" width="10.5" style="3" customWidth="1"/>
    <col min="10758" max="10758" width="11" style="3" customWidth="1"/>
    <col min="10759" max="10759" width="9.125" style="3" customWidth="1"/>
    <col min="10760" max="10760" width="10.375" style="3" customWidth="1"/>
    <col min="10761" max="10761" width="10" style="3" customWidth="1"/>
    <col min="10762" max="10762" width="9.875" style="3" customWidth="1"/>
    <col min="10763" max="10763" width="10.875" style="3" customWidth="1"/>
    <col min="10764" max="10764" width="10.5" style="3" customWidth="1"/>
    <col min="10765" max="10765" width="11" style="3" customWidth="1"/>
    <col min="10766" max="10766" width="9" style="3"/>
    <col min="10767" max="10767" width="10.5" style="3" customWidth="1"/>
    <col min="10768" max="10768" width="9" style="3"/>
    <col min="10769" max="10769" width="19.125" style="3" customWidth="1"/>
    <col min="10770" max="10770" width="14" style="3" customWidth="1"/>
    <col min="10771" max="10771" width="16.75" style="3" customWidth="1"/>
    <col min="10772" max="11008" width="9" style="3"/>
    <col min="11009" max="11009" width="1.875" style="3" customWidth="1"/>
    <col min="11010" max="11010" width="10" style="3" customWidth="1"/>
    <col min="11011" max="11011" width="9.875" style="3" customWidth="1"/>
    <col min="11012" max="11012" width="10.875" style="3" customWidth="1"/>
    <col min="11013" max="11013" width="10.5" style="3" customWidth="1"/>
    <col min="11014" max="11014" width="11" style="3" customWidth="1"/>
    <col min="11015" max="11015" width="9.125" style="3" customWidth="1"/>
    <col min="11016" max="11016" width="10.375" style="3" customWidth="1"/>
    <col min="11017" max="11017" width="10" style="3" customWidth="1"/>
    <col min="11018" max="11018" width="9.875" style="3" customWidth="1"/>
    <col min="11019" max="11019" width="10.875" style="3" customWidth="1"/>
    <col min="11020" max="11020" width="10.5" style="3" customWidth="1"/>
    <col min="11021" max="11021" width="11" style="3" customWidth="1"/>
    <col min="11022" max="11022" width="9" style="3"/>
    <col min="11023" max="11023" width="10.5" style="3" customWidth="1"/>
    <col min="11024" max="11024" width="9" style="3"/>
    <col min="11025" max="11025" width="19.125" style="3" customWidth="1"/>
    <col min="11026" max="11026" width="14" style="3" customWidth="1"/>
    <col min="11027" max="11027" width="16.75" style="3" customWidth="1"/>
    <col min="11028" max="11264" width="9" style="3"/>
    <col min="11265" max="11265" width="1.875" style="3" customWidth="1"/>
    <col min="11266" max="11266" width="10" style="3" customWidth="1"/>
    <col min="11267" max="11267" width="9.875" style="3" customWidth="1"/>
    <col min="11268" max="11268" width="10.875" style="3" customWidth="1"/>
    <col min="11269" max="11269" width="10.5" style="3" customWidth="1"/>
    <col min="11270" max="11270" width="11" style="3" customWidth="1"/>
    <col min="11271" max="11271" width="9.125" style="3" customWidth="1"/>
    <col min="11272" max="11272" width="10.375" style="3" customWidth="1"/>
    <col min="11273" max="11273" width="10" style="3" customWidth="1"/>
    <col min="11274" max="11274" width="9.875" style="3" customWidth="1"/>
    <col min="11275" max="11275" width="10.875" style="3" customWidth="1"/>
    <col min="11276" max="11276" width="10.5" style="3" customWidth="1"/>
    <col min="11277" max="11277" width="11" style="3" customWidth="1"/>
    <col min="11278" max="11278" width="9" style="3"/>
    <col min="11279" max="11279" width="10.5" style="3" customWidth="1"/>
    <col min="11280" max="11280" width="9" style="3"/>
    <col min="11281" max="11281" width="19.125" style="3" customWidth="1"/>
    <col min="11282" max="11282" width="14" style="3" customWidth="1"/>
    <col min="11283" max="11283" width="16.75" style="3" customWidth="1"/>
    <col min="11284" max="11520" width="9" style="3"/>
    <col min="11521" max="11521" width="1.875" style="3" customWidth="1"/>
    <col min="11522" max="11522" width="10" style="3" customWidth="1"/>
    <col min="11523" max="11523" width="9.875" style="3" customWidth="1"/>
    <col min="11524" max="11524" width="10.875" style="3" customWidth="1"/>
    <col min="11525" max="11525" width="10.5" style="3" customWidth="1"/>
    <col min="11526" max="11526" width="11" style="3" customWidth="1"/>
    <col min="11527" max="11527" width="9.125" style="3" customWidth="1"/>
    <col min="11528" max="11528" width="10.375" style="3" customWidth="1"/>
    <col min="11529" max="11529" width="10" style="3" customWidth="1"/>
    <col min="11530" max="11530" width="9.875" style="3" customWidth="1"/>
    <col min="11531" max="11531" width="10.875" style="3" customWidth="1"/>
    <col min="11532" max="11532" width="10.5" style="3" customWidth="1"/>
    <col min="11533" max="11533" width="11" style="3" customWidth="1"/>
    <col min="11534" max="11534" width="9" style="3"/>
    <col min="11535" max="11535" width="10.5" style="3" customWidth="1"/>
    <col min="11536" max="11536" width="9" style="3"/>
    <col min="11537" max="11537" width="19.125" style="3" customWidth="1"/>
    <col min="11538" max="11538" width="14" style="3" customWidth="1"/>
    <col min="11539" max="11539" width="16.75" style="3" customWidth="1"/>
    <col min="11540" max="11776" width="9" style="3"/>
    <col min="11777" max="11777" width="1.875" style="3" customWidth="1"/>
    <col min="11778" max="11778" width="10" style="3" customWidth="1"/>
    <col min="11779" max="11779" width="9.875" style="3" customWidth="1"/>
    <col min="11780" max="11780" width="10.875" style="3" customWidth="1"/>
    <col min="11781" max="11781" width="10.5" style="3" customWidth="1"/>
    <col min="11782" max="11782" width="11" style="3" customWidth="1"/>
    <col min="11783" max="11783" width="9.125" style="3" customWidth="1"/>
    <col min="11784" max="11784" width="10.375" style="3" customWidth="1"/>
    <col min="11785" max="11785" width="10" style="3" customWidth="1"/>
    <col min="11786" max="11786" width="9.875" style="3" customWidth="1"/>
    <col min="11787" max="11787" width="10.875" style="3" customWidth="1"/>
    <col min="11788" max="11788" width="10.5" style="3" customWidth="1"/>
    <col min="11789" max="11789" width="11" style="3" customWidth="1"/>
    <col min="11790" max="11790" width="9" style="3"/>
    <col min="11791" max="11791" width="10.5" style="3" customWidth="1"/>
    <col min="11792" max="11792" width="9" style="3"/>
    <col min="11793" max="11793" width="19.125" style="3" customWidth="1"/>
    <col min="11794" max="11794" width="14" style="3" customWidth="1"/>
    <col min="11795" max="11795" width="16.75" style="3" customWidth="1"/>
    <col min="11796" max="12032" width="9" style="3"/>
    <col min="12033" max="12033" width="1.875" style="3" customWidth="1"/>
    <col min="12034" max="12034" width="10" style="3" customWidth="1"/>
    <col min="12035" max="12035" width="9.875" style="3" customWidth="1"/>
    <col min="12036" max="12036" width="10.875" style="3" customWidth="1"/>
    <col min="12037" max="12037" width="10.5" style="3" customWidth="1"/>
    <col min="12038" max="12038" width="11" style="3" customWidth="1"/>
    <col min="12039" max="12039" width="9.125" style="3" customWidth="1"/>
    <col min="12040" max="12040" width="10.375" style="3" customWidth="1"/>
    <col min="12041" max="12041" width="10" style="3" customWidth="1"/>
    <col min="12042" max="12042" width="9.875" style="3" customWidth="1"/>
    <col min="12043" max="12043" width="10.875" style="3" customWidth="1"/>
    <col min="12044" max="12044" width="10.5" style="3" customWidth="1"/>
    <col min="12045" max="12045" width="11" style="3" customWidth="1"/>
    <col min="12046" max="12046" width="9" style="3"/>
    <col min="12047" max="12047" width="10.5" style="3" customWidth="1"/>
    <col min="12048" max="12048" width="9" style="3"/>
    <col min="12049" max="12049" width="19.125" style="3" customWidth="1"/>
    <col min="12050" max="12050" width="14" style="3" customWidth="1"/>
    <col min="12051" max="12051" width="16.75" style="3" customWidth="1"/>
    <col min="12052" max="12288" width="9" style="3"/>
    <col min="12289" max="12289" width="1.875" style="3" customWidth="1"/>
    <col min="12290" max="12290" width="10" style="3" customWidth="1"/>
    <col min="12291" max="12291" width="9.875" style="3" customWidth="1"/>
    <col min="12292" max="12292" width="10.875" style="3" customWidth="1"/>
    <col min="12293" max="12293" width="10.5" style="3" customWidth="1"/>
    <col min="12294" max="12294" width="11" style="3" customWidth="1"/>
    <col min="12295" max="12295" width="9.125" style="3" customWidth="1"/>
    <col min="12296" max="12296" width="10.375" style="3" customWidth="1"/>
    <col min="12297" max="12297" width="10" style="3" customWidth="1"/>
    <col min="12298" max="12298" width="9.875" style="3" customWidth="1"/>
    <col min="12299" max="12299" width="10.875" style="3" customWidth="1"/>
    <col min="12300" max="12300" width="10.5" style="3" customWidth="1"/>
    <col min="12301" max="12301" width="11" style="3" customWidth="1"/>
    <col min="12302" max="12302" width="9" style="3"/>
    <col min="12303" max="12303" width="10.5" style="3" customWidth="1"/>
    <col min="12304" max="12304" width="9" style="3"/>
    <col min="12305" max="12305" width="19.125" style="3" customWidth="1"/>
    <col min="12306" max="12306" width="14" style="3" customWidth="1"/>
    <col min="12307" max="12307" width="16.75" style="3" customWidth="1"/>
    <col min="12308" max="12544" width="9" style="3"/>
    <col min="12545" max="12545" width="1.875" style="3" customWidth="1"/>
    <col min="12546" max="12546" width="10" style="3" customWidth="1"/>
    <col min="12547" max="12547" width="9.875" style="3" customWidth="1"/>
    <col min="12548" max="12548" width="10.875" style="3" customWidth="1"/>
    <col min="12549" max="12549" width="10.5" style="3" customWidth="1"/>
    <col min="12550" max="12550" width="11" style="3" customWidth="1"/>
    <col min="12551" max="12551" width="9.125" style="3" customWidth="1"/>
    <col min="12552" max="12552" width="10.375" style="3" customWidth="1"/>
    <col min="12553" max="12553" width="10" style="3" customWidth="1"/>
    <col min="12554" max="12554" width="9.875" style="3" customWidth="1"/>
    <col min="12555" max="12555" width="10.875" style="3" customWidth="1"/>
    <col min="12556" max="12556" width="10.5" style="3" customWidth="1"/>
    <col min="12557" max="12557" width="11" style="3" customWidth="1"/>
    <col min="12558" max="12558" width="9" style="3"/>
    <col min="12559" max="12559" width="10.5" style="3" customWidth="1"/>
    <col min="12560" max="12560" width="9" style="3"/>
    <col min="12561" max="12561" width="19.125" style="3" customWidth="1"/>
    <col min="12562" max="12562" width="14" style="3" customWidth="1"/>
    <col min="12563" max="12563" width="16.75" style="3" customWidth="1"/>
    <col min="12564" max="12800" width="9" style="3"/>
    <col min="12801" max="12801" width="1.875" style="3" customWidth="1"/>
    <col min="12802" max="12802" width="10" style="3" customWidth="1"/>
    <col min="12803" max="12803" width="9.875" style="3" customWidth="1"/>
    <col min="12804" max="12804" width="10.875" style="3" customWidth="1"/>
    <col min="12805" max="12805" width="10.5" style="3" customWidth="1"/>
    <col min="12806" max="12806" width="11" style="3" customWidth="1"/>
    <col min="12807" max="12807" width="9.125" style="3" customWidth="1"/>
    <col min="12808" max="12808" width="10.375" style="3" customWidth="1"/>
    <col min="12809" max="12809" width="10" style="3" customWidth="1"/>
    <col min="12810" max="12810" width="9.875" style="3" customWidth="1"/>
    <col min="12811" max="12811" width="10.875" style="3" customWidth="1"/>
    <col min="12812" max="12812" width="10.5" style="3" customWidth="1"/>
    <col min="12813" max="12813" width="11" style="3" customWidth="1"/>
    <col min="12814" max="12814" width="9" style="3"/>
    <col min="12815" max="12815" width="10.5" style="3" customWidth="1"/>
    <col min="12816" max="12816" width="9" style="3"/>
    <col min="12817" max="12817" width="19.125" style="3" customWidth="1"/>
    <col min="12818" max="12818" width="14" style="3" customWidth="1"/>
    <col min="12819" max="12819" width="16.75" style="3" customWidth="1"/>
    <col min="12820" max="13056" width="9" style="3"/>
    <col min="13057" max="13057" width="1.875" style="3" customWidth="1"/>
    <col min="13058" max="13058" width="10" style="3" customWidth="1"/>
    <col min="13059" max="13059" width="9.875" style="3" customWidth="1"/>
    <col min="13060" max="13060" width="10.875" style="3" customWidth="1"/>
    <col min="13061" max="13061" width="10.5" style="3" customWidth="1"/>
    <col min="13062" max="13062" width="11" style="3" customWidth="1"/>
    <col min="13063" max="13063" width="9.125" style="3" customWidth="1"/>
    <col min="13064" max="13064" width="10.375" style="3" customWidth="1"/>
    <col min="13065" max="13065" width="10" style="3" customWidth="1"/>
    <col min="13066" max="13066" width="9.875" style="3" customWidth="1"/>
    <col min="13067" max="13067" width="10.875" style="3" customWidth="1"/>
    <col min="13068" max="13068" width="10.5" style="3" customWidth="1"/>
    <col min="13069" max="13069" width="11" style="3" customWidth="1"/>
    <col min="13070" max="13070" width="9" style="3"/>
    <col min="13071" max="13071" width="10.5" style="3" customWidth="1"/>
    <col min="13072" max="13072" width="9" style="3"/>
    <col min="13073" max="13073" width="19.125" style="3" customWidth="1"/>
    <col min="13074" max="13074" width="14" style="3" customWidth="1"/>
    <col min="13075" max="13075" width="16.75" style="3" customWidth="1"/>
    <col min="13076" max="13312" width="9" style="3"/>
    <col min="13313" max="13313" width="1.875" style="3" customWidth="1"/>
    <col min="13314" max="13314" width="10" style="3" customWidth="1"/>
    <col min="13315" max="13315" width="9.875" style="3" customWidth="1"/>
    <col min="13316" max="13316" width="10.875" style="3" customWidth="1"/>
    <col min="13317" max="13317" width="10.5" style="3" customWidth="1"/>
    <col min="13318" max="13318" width="11" style="3" customWidth="1"/>
    <col min="13319" max="13319" width="9.125" style="3" customWidth="1"/>
    <col min="13320" max="13320" width="10.375" style="3" customWidth="1"/>
    <col min="13321" max="13321" width="10" style="3" customWidth="1"/>
    <col min="13322" max="13322" width="9.875" style="3" customWidth="1"/>
    <col min="13323" max="13323" width="10.875" style="3" customWidth="1"/>
    <col min="13324" max="13324" width="10.5" style="3" customWidth="1"/>
    <col min="13325" max="13325" width="11" style="3" customWidth="1"/>
    <col min="13326" max="13326" width="9" style="3"/>
    <col min="13327" max="13327" width="10.5" style="3" customWidth="1"/>
    <col min="13328" max="13328" width="9" style="3"/>
    <col min="13329" max="13329" width="19.125" style="3" customWidth="1"/>
    <col min="13330" max="13330" width="14" style="3" customWidth="1"/>
    <col min="13331" max="13331" width="16.75" style="3" customWidth="1"/>
    <col min="13332" max="13568" width="9" style="3"/>
    <col min="13569" max="13569" width="1.875" style="3" customWidth="1"/>
    <col min="13570" max="13570" width="10" style="3" customWidth="1"/>
    <col min="13571" max="13571" width="9.875" style="3" customWidth="1"/>
    <col min="13572" max="13572" width="10.875" style="3" customWidth="1"/>
    <col min="13573" max="13573" width="10.5" style="3" customWidth="1"/>
    <col min="13574" max="13574" width="11" style="3" customWidth="1"/>
    <col min="13575" max="13575" width="9.125" style="3" customWidth="1"/>
    <col min="13576" max="13576" width="10.375" style="3" customWidth="1"/>
    <col min="13577" max="13577" width="10" style="3" customWidth="1"/>
    <col min="13578" max="13578" width="9.875" style="3" customWidth="1"/>
    <col min="13579" max="13579" width="10.875" style="3" customWidth="1"/>
    <col min="13580" max="13580" width="10.5" style="3" customWidth="1"/>
    <col min="13581" max="13581" width="11" style="3" customWidth="1"/>
    <col min="13582" max="13582" width="9" style="3"/>
    <col min="13583" max="13583" width="10.5" style="3" customWidth="1"/>
    <col min="13584" max="13584" width="9" style="3"/>
    <col min="13585" max="13585" width="19.125" style="3" customWidth="1"/>
    <col min="13586" max="13586" width="14" style="3" customWidth="1"/>
    <col min="13587" max="13587" width="16.75" style="3" customWidth="1"/>
    <col min="13588" max="13824" width="9" style="3"/>
    <col min="13825" max="13825" width="1.875" style="3" customWidth="1"/>
    <col min="13826" max="13826" width="10" style="3" customWidth="1"/>
    <col min="13827" max="13827" width="9.875" style="3" customWidth="1"/>
    <col min="13828" max="13828" width="10.875" style="3" customWidth="1"/>
    <col min="13829" max="13829" width="10.5" style="3" customWidth="1"/>
    <col min="13830" max="13830" width="11" style="3" customWidth="1"/>
    <col min="13831" max="13831" width="9.125" style="3" customWidth="1"/>
    <col min="13832" max="13832" width="10.375" style="3" customWidth="1"/>
    <col min="13833" max="13833" width="10" style="3" customWidth="1"/>
    <col min="13834" max="13834" width="9.875" style="3" customWidth="1"/>
    <col min="13835" max="13835" width="10.875" style="3" customWidth="1"/>
    <col min="13836" max="13836" width="10.5" style="3" customWidth="1"/>
    <col min="13837" max="13837" width="11" style="3" customWidth="1"/>
    <col min="13838" max="13838" width="9" style="3"/>
    <col min="13839" max="13839" width="10.5" style="3" customWidth="1"/>
    <col min="13840" max="13840" width="9" style="3"/>
    <col min="13841" max="13841" width="19.125" style="3" customWidth="1"/>
    <col min="13842" max="13842" width="14" style="3" customWidth="1"/>
    <col min="13843" max="13843" width="16.75" style="3" customWidth="1"/>
    <col min="13844" max="14080" width="9" style="3"/>
    <col min="14081" max="14081" width="1.875" style="3" customWidth="1"/>
    <col min="14082" max="14082" width="10" style="3" customWidth="1"/>
    <col min="14083" max="14083" width="9.875" style="3" customWidth="1"/>
    <col min="14084" max="14084" width="10.875" style="3" customWidth="1"/>
    <col min="14085" max="14085" width="10.5" style="3" customWidth="1"/>
    <col min="14086" max="14086" width="11" style="3" customWidth="1"/>
    <col min="14087" max="14087" width="9.125" style="3" customWidth="1"/>
    <col min="14088" max="14088" width="10.375" style="3" customWidth="1"/>
    <col min="14089" max="14089" width="10" style="3" customWidth="1"/>
    <col min="14090" max="14090" width="9.875" style="3" customWidth="1"/>
    <col min="14091" max="14091" width="10.875" style="3" customWidth="1"/>
    <col min="14092" max="14092" width="10.5" style="3" customWidth="1"/>
    <col min="14093" max="14093" width="11" style="3" customWidth="1"/>
    <col min="14094" max="14094" width="9" style="3"/>
    <col min="14095" max="14095" width="10.5" style="3" customWidth="1"/>
    <col min="14096" max="14096" width="9" style="3"/>
    <col min="14097" max="14097" width="19.125" style="3" customWidth="1"/>
    <col min="14098" max="14098" width="14" style="3" customWidth="1"/>
    <col min="14099" max="14099" width="16.75" style="3" customWidth="1"/>
    <col min="14100" max="14336" width="9" style="3"/>
    <col min="14337" max="14337" width="1.875" style="3" customWidth="1"/>
    <col min="14338" max="14338" width="10" style="3" customWidth="1"/>
    <col min="14339" max="14339" width="9.875" style="3" customWidth="1"/>
    <col min="14340" max="14340" width="10.875" style="3" customWidth="1"/>
    <col min="14341" max="14341" width="10.5" style="3" customWidth="1"/>
    <col min="14342" max="14342" width="11" style="3" customWidth="1"/>
    <col min="14343" max="14343" width="9.125" style="3" customWidth="1"/>
    <col min="14344" max="14344" width="10.375" style="3" customWidth="1"/>
    <col min="14345" max="14345" width="10" style="3" customWidth="1"/>
    <col min="14346" max="14346" width="9.875" style="3" customWidth="1"/>
    <col min="14347" max="14347" width="10.875" style="3" customWidth="1"/>
    <col min="14348" max="14348" width="10.5" style="3" customWidth="1"/>
    <col min="14349" max="14349" width="11" style="3" customWidth="1"/>
    <col min="14350" max="14350" width="9" style="3"/>
    <col min="14351" max="14351" width="10.5" style="3" customWidth="1"/>
    <col min="14352" max="14352" width="9" style="3"/>
    <col min="14353" max="14353" width="19.125" style="3" customWidth="1"/>
    <col min="14354" max="14354" width="14" style="3" customWidth="1"/>
    <col min="14355" max="14355" width="16.75" style="3" customWidth="1"/>
    <col min="14356" max="14592" width="9" style="3"/>
    <col min="14593" max="14593" width="1.875" style="3" customWidth="1"/>
    <col min="14594" max="14594" width="10" style="3" customWidth="1"/>
    <col min="14595" max="14595" width="9.875" style="3" customWidth="1"/>
    <col min="14596" max="14596" width="10.875" style="3" customWidth="1"/>
    <col min="14597" max="14597" width="10.5" style="3" customWidth="1"/>
    <col min="14598" max="14598" width="11" style="3" customWidth="1"/>
    <col min="14599" max="14599" width="9.125" style="3" customWidth="1"/>
    <col min="14600" max="14600" width="10.375" style="3" customWidth="1"/>
    <col min="14601" max="14601" width="10" style="3" customWidth="1"/>
    <col min="14602" max="14602" width="9.875" style="3" customWidth="1"/>
    <col min="14603" max="14603" width="10.875" style="3" customWidth="1"/>
    <col min="14604" max="14604" width="10.5" style="3" customWidth="1"/>
    <col min="14605" max="14605" width="11" style="3" customWidth="1"/>
    <col min="14606" max="14606" width="9" style="3"/>
    <col min="14607" max="14607" width="10.5" style="3" customWidth="1"/>
    <col min="14608" max="14608" width="9" style="3"/>
    <col min="14609" max="14609" width="19.125" style="3" customWidth="1"/>
    <col min="14610" max="14610" width="14" style="3" customWidth="1"/>
    <col min="14611" max="14611" width="16.75" style="3" customWidth="1"/>
    <col min="14612" max="14848" width="9" style="3"/>
    <col min="14849" max="14849" width="1.875" style="3" customWidth="1"/>
    <col min="14850" max="14850" width="10" style="3" customWidth="1"/>
    <col min="14851" max="14851" width="9.875" style="3" customWidth="1"/>
    <col min="14852" max="14852" width="10.875" style="3" customWidth="1"/>
    <col min="14853" max="14853" width="10.5" style="3" customWidth="1"/>
    <col min="14854" max="14854" width="11" style="3" customWidth="1"/>
    <col min="14855" max="14855" width="9.125" style="3" customWidth="1"/>
    <col min="14856" max="14856" width="10.375" style="3" customWidth="1"/>
    <col min="14857" max="14857" width="10" style="3" customWidth="1"/>
    <col min="14858" max="14858" width="9.875" style="3" customWidth="1"/>
    <col min="14859" max="14859" width="10.875" style="3" customWidth="1"/>
    <col min="14860" max="14860" width="10.5" style="3" customWidth="1"/>
    <col min="14861" max="14861" width="11" style="3" customWidth="1"/>
    <col min="14862" max="14862" width="9" style="3"/>
    <col min="14863" max="14863" width="10.5" style="3" customWidth="1"/>
    <col min="14864" max="14864" width="9" style="3"/>
    <col min="14865" max="14865" width="19.125" style="3" customWidth="1"/>
    <col min="14866" max="14866" width="14" style="3" customWidth="1"/>
    <col min="14867" max="14867" width="16.75" style="3" customWidth="1"/>
    <col min="14868" max="15104" width="9" style="3"/>
    <col min="15105" max="15105" width="1.875" style="3" customWidth="1"/>
    <col min="15106" max="15106" width="10" style="3" customWidth="1"/>
    <col min="15107" max="15107" width="9.875" style="3" customWidth="1"/>
    <col min="15108" max="15108" width="10.875" style="3" customWidth="1"/>
    <col min="15109" max="15109" width="10.5" style="3" customWidth="1"/>
    <col min="15110" max="15110" width="11" style="3" customWidth="1"/>
    <col min="15111" max="15111" width="9.125" style="3" customWidth="1"/>
    <col min="15112" max="15112" width="10.375" style="3" customWidth="1"/>
    <col min="15113" max="15113" width="10" style="3" customWidth="1"/>
    <col min="15114" max="15114" width="9.875" style="3" customWidth="1"/>
    <col min="15115" max="15115" width="10.875" style="3" customWidth="1"/>
    <col min="15116" max="15116" width="10.5" style="3" customWidth="1"/>
    <col min="15117" max="15117" width="11" style="3" customWidth="1"/>
    <col min="15118" max="15118" width="9" style="3"/>
    <col min="15119" max="15119" width="10.5" style="3" customWidth="1"/>
    <col min="15120" max="15120" width="9" style="3"/>
    <col min="15121" max="15121" width="19.125" style="3" customWidth="1"/>
    <col min="15122" max="15122" width="14" style="3" customWidth="1"/>
    <col min="15123" max="15123" width="16.75" style="3" customWidth="1"/>
    <col min="15124" max="15360" width="9" style="3"/>
    <col min="15361" max="15361" width="1.875" style="3" customWidth="1"/>
    <col min="15362" max="15362" width="10" style="3" customWidth="1"/>
    <col min="15363" max="15363" width="9.875" style="3" customWidth="1"/>
    <col min="15364" max="15364" width="10.875" style="3" customWidth="1"/>
    <col min="15365" max="15365" width="10.5" style="3" customWidth="1"/>
    <col min="15366" max="15366" width="11" style="3" customWidth="1"/>
    <col min="15367" max="15367" width="9.125" style="3" customWidth="1"/>
    <col min="15368" max="15368" width="10.375" style="3" customWidth="1"/>
    <col min="15369" max="15369" width="10" style="3" customWidth="1"/>
    <col min="15370" max="15370" width="9.875" style="3" customWidth="1"/>
    <col min="15371" max="15371" width="10.875" style="3" customWidth="1"/>
    <col min="15372" max="15372" width="10.5" style="3" customWidth="1"/>
    <col min="15373" max="15373" width="11" style="3" customWidth="1"/>
    <col min="15374" max="15374" width="9" style="3"/>
    <col min="15375" max="15375" width="10.5" style="3" customWidth="1"/>
    <col min="15376" max="15376" width="9" style="3"/>
    <col min="15377" max="15377" width="19.125" style="3" customWidth="1"/>
    <col min="15378" max="15378" width="14" style="3" customWidth="1"/>
    <col min="15379" max="15379" width="16.75" style="3" customWidth="1"/>
    <col min="15380" max="15616" width="9" style="3"/>
    <col min="15617" max="15617" width="1.875" style="3" customWidth="1"/>
    <col min="15618" max="15618" width="10" style="3" customWidth="1"/>
    <col min="15619" max="15619" width="9.875" style="3" customWidth="1"/>
    <col min="15620" max="15620" width="10.875" style="3" customWidth="1"/>
    <col min="15621" max="15621" width="10.5" style="3" customWidth="1"/>
    <col min="15622" max="15622" width="11" style="3" customWidth="1"/>
    <col min="15623" max="15623" width="9.125" style="3" customWidth="1"/>
    <col min="15624" max="15624" width="10.375" style="3" customWidth="1"/>
    <col min="15625" max="15625" width="10" style="3" customWidth="1"/>
    <col min="15626" max="15626" width="9.875" style="3" customWidth="1"/>
    <col min="15627" max="15627" width="10.875" style="3" customWidth="1"/>
    <col min="15628" max="15628" width="10.5" style="3" customWidth="1"/>
    <col min="15629" max="15629" width="11" style="3" customWidth="1"/>
    <col min="15630" max="15630" width="9" style="3"/>
    <col min="15631" max="15631" width="10.5" style="3" customWidth="1"/>
    <col min="15632" max="15632" width="9" style="3"/>
    <col min="15633" max="15633" width="19.125" style="3" customWidth="1"/>
    <col min="15634" max="15634" width="14" style="3" customWidth="1"/>
    <col min="15635" max="15635" width="16.75" style="3" customWidth="1"/>
    <col min="15636" max="15872" width="9" style="3"/>
    <col min="15873" max="15873" width="1.875" style="3" customWidth="1"/>
    <col min="15874" max="15874" width="10" style="3" customWidth="1"/>
    <col min="15875" max="15875" width="9.875" style="3" customWidth="1"/>
    <col min="15876" max="15876" width="10.875" style="3" customWidth="1"/>
    <col min="15877" max="15877" width="10.5" style="3" customWidth="1"/>
    <col min="15878" max="15878" width="11" style="3" customWidth="1"/>
    <col min="15879" max="15879" width="9.125" style="3" customWidth="1"/>
    <col min="15880" max="15880" width="10.375" style="3" customWidth="1"/>
    <col min="15881" max="15881" width="10" style="3" customWidth="1"/>
    <col min="15882" max="15882" width="9.875" style="3" customWidth="1"/>
    <col min="15883" max="15883" width="10.875" style="3" customWidth="1"/>
    <col min="15884" max="15884" width="10.5" style="3" customWidth="1"/>
    <col min="15885" max="15885" width="11" style="3" customWidth="1"/>
    <col min="15886" max="15886" width="9" style="3"/>
    <col min="15887" max="15887" width="10.5" style="3" customWidth="1"/>
    <col min="15888" max="15888" width="9" style="3"/>
    <col min="15889" max="15889" width="19.125" style="3" customWidth="1"/>
    <col min="15890" max="15890" width="14" style="3" customWidth="1"/>
    <col min="15891" max="15891" width="16.75" style="3" customWidth="1"/>
    <col min="15892" max="16128" width="9" style="3"/>
    <col min="16129" max="16129" width="1.875" style="3" customWidth="1"/>
    <col min="16130" max="16130" width="10" style="3" customWidth="1"/>
    <col min="16131" max="16131" width="9.875" style="3" customWidth="1"/>
    <col min="16132" max="16132" width="10.875" style="3" customWidth="1"/>
    <col min="16133" max="16133" width="10.5" style="3" customWidth="1"/>
    <col min="16134" max="16134" width="11" style="3" customWidth="1"/>
    <col min="16135" max="16135" width="9.125" style="3" customWidth="1"/>
    <col min="16136" max="16136" width="10.375" style="3" customWidth="1"/>
    <col min="16137" max="16137" width="10" style="3" customWidth="1"/>
    <col min="16138" max="16138" width="9.875" style="3" customWidth="1"/>
    <col min="16139" max="16139" width="10.875" style="3" customWidth="1"/>
    <col min="16140" max="16140" width="10.5" style="3" customWidth="1"/>
    <col min="16141" max="16141" width="11" style="3" customWidth="1"/>
    <col min="16142" max="16142" width="9" style="3"/>
    <col min="16143" max="16143" width="10.5" style="3" customWidth="1"/>
    <col min="16144" max="16144" width="9" style="3"/>
    <col min="16145" max="16145" width="19.125" style="3" customWidth="1"/>
    <col min="16146" max="16146" width="14" style="3" customWidth="1"/>
    <col min="16147" max="16147" width="16.75" style="3" customWidth="1"/>
    <col min="16148" max="16384" width="9" style="3"/>
  </cols>
  <sheetData>
    <row r="1" spans="1:23" ht="32.450000000000003" customHeight="1">
      <c r="B1" s="188" t="s">
        <v>0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</row>
    <row r="2" spans="1:23" ht="27" customHeight="1" thickBot="1">
      <c r="H2" s="6"/>
      <c r="L2" s="190" t="s">
        <v>179</v>
      </c>
      <c r="M2" s="190"/>
      <c r="N2" s="190"/>
      <c r="O2" s="190"/>
    </row>
    <row r="3" spans="1:23" s="1" customFormat="1" ht="53.25" customHeight="1" thickTop="1" thickBot="1">
      <c r="B3" s="7" t="s">
        <v>1</v>
      </c>
      <c r="C3" s="8" t="s">
        <v>2</v>
      </c>
      <c r="D3" s="9" t="s">
        <v>3</v>
      </c>
      <c r="E3" s="9" t="s">
        <v>4</v>
      </c>
      <c r="F3" s="9" t="s">
        <v>5</v>
      </c>
      <c r="G3" s="10" t="s">
        <v>6</v>
      </c>
      <c r="H3" s="11" t="s">
        <v>7</v>
      </c>
      <c r="I3" s="40" t="s">
        <v>1</v>
      </c>
      <c r="J3" s="11" t="s">
        <v>2</v>
      </c>
      <c r="K3" s="41" t="s">
        <v>3</v>
      </c>
      <c r="L3" s="164" t="s">
        <v>4</v>
      </c>
      <c r="M3" s="164" t="s">
        <v>5</v>
      </c>
      <c r="N3" s="165" t="s">
        <v>6</v>
      </c>
      <c r="O3" s="42" t="s">
        <v>7</v>
      </c>
      <c r="R3" s="63" t="s">
        <v>8</v>
      </c>
    </row>
    <row r="4" spans="1:23" ht="35.1" customHeight="1">
      <c r="A4" s="3" t="s">
        <v>8</v>
      </c>
      <c r="B4" s="12" t="s">
        <v>80</v>
      </c>
      <c r="C4" s="13" t="s">
        <v>81</v>
      </c>
      <c r="D4" s="14" t="s">
        <v>82</v>
      </c>
      <c r="E4" s="15">
        <f>1800/30*G4</f>
        <v>1800</v>
      </c>
      <c r="F4" s="16">
        <f t="shared" ref="F4:F22" si="0">E4+300</f>
        <v>2100</v>
      </c>
      <c r="G4" s="17">
        <v>30</v>
      </c>
      <c r="H4" s="18" t="str">
        <f>IF(G4&lt;30,"V"," ")</f>
        <v xml:space="preserve"> </v>
      </c>
      <c r="I4" s="43"/>
      <c r="J4" s="166" t="s">
        <v>177</v>
      </c>
      <c r="K4" s="141" t="s">
        <v>175</v>
      </c>
      <c r="L4" s="15">
        <f>1800/30*N4</f>
        <v>540</v>
      </c>
      <c r="M4" s="16">
        <f>L4+300</f>
        <v>840</v>
      </c>
      <c r="N4" s="17">
        <v>9</v>
      </c>
      <c r="O4" s="18" t="str">
        <f>IF(N4&lt;30,"V"," ")</f>
        <v>V</v>
      </c>
    </row>
    <row r="5" spans="1:23" ht="35.1" customHeight="1">
      <c r="B5" s="19"/>
      <c r="C5" s="20" t="s">
        <v>85</v>
      </c>
      <c r="D5" s="21" t="s">
        <v>86</v>
      </c>
      <c r="E5" s="15">
        <f t="shared" ref="E5:E22" si="1">1800/30*G5</f>
        <v>1800</v>
      </c>
      <c r="F5" s="22">
        <f t="shared" si="0"/>
        <v>2100</v>
      </c>
      <c r="G5" s="23">
        <v>30</v>
      </c>
      <c r="H5" s="18" t="str">
        <f t="shared" ref="H5:H22" si="2">IF(G5&lt;30,"V"," ")</f>
        <v xml:space="preserve"> </v>
      </c>
      <c r="I5" s="43"/>
      <c r="J5" s="166" t="s">
        <v>178</v>
      </c>
      <c r="K5" s="141" t="s">
        <v>176</v>
      </c>
      <c r="L5" s="15">
        <f>1800/30*N5</f>
        <v>540</v>
      </c>
      <c r="M5" s="16">
        <f>L5+300</f>
        <v>840</v>
      </c>
      <c r="N5" s="17">
        <v>9</v>
      </c>
      <c r="O5" s="18" t="str">
        <f>IF(N5&lt;30,"V"," ")</f>
        <v>V</v>
      </c>
      <c r="R5" s="64"/>
    </row>
    <row r="6" spans="1:23" ht="35.1" customHeight="1" thickBot="1">
      <c r="B6" s="25"/>
      <c r="C6" s="26" t="s">
        <v>91</v>
      </c>
      <c r="D6" s="21" t="s">
        <v>92</v>
      </c>
      <c r="E6" s="15">
        <f t="shared" si="1"/>
        <v>1800</v>
      </c>
      <c r="F6" s="22">
        <f t="shared" si="0"/>
        <v>2100</v>
      </c>
      <c r="G6" s="23">
        <v>30</v>
      </c>
      <c r="H6" s="31" t="str">
        <f t="shared" si="2"/>
        <v xml:space="preserve"> </v>
      </c>
      <c r="I6" s="43"/>
      <c r="J6" s="44"/>
      <c r="K6" s="45"/>
      <c r="L6" s="45"/>
      <c r="M6" s="45"/>
      <c r="N6" s="45"/>
      <c r="O6" s="31" t="str">
        <f>IF(G17&lt;30,"V"," ")</f>
        <v xml:space="preserve"> </v>
      </c>
      <c r="R6" s="64"/>
    </row>
    <row r="7" spans="1:23" ht="35.1" customHeight="1" thickTop="1" thickBot="1">
      <c r="B7" s="25"/>
      <c r="C7" s="20" t="s">
        <v>95</v>
      </c>
      <c r="D7" s="21" t="s">
        <v>96</v>
      </c>
      <c r="E7" s="15">
        <f t="shared" si="1"/>
        <v>540</v>
      </c>
      <c r="F7" s="22">
        <f t="shared" si="0"/>
        <v>840</v>
      </c>
      <c r="G7" s="23">
        <v>9</v>
      </c>
      <c r="H7" s="24" t="str">
        <f t="shared" si="2"/>
        <v>V</v>
      </c>
      <c r="I7" s="191" t="s">
        <v>51</v>
      </c>
      <c r="J7" s="192"/>
      <c r="K7" s="192"/>
      <c r="L7" s="192"/>
      <c r="M7" s="192"/>
      <c r="N7" s="192"/>
      <c r="O7" s="193"/>
      <c r="R7" s="65"/>
    </row>
    <row r="8" spans="1:23" ht="35.1" customHeight="1" thickTop="1">
      <c r="B8" s="25"/>
      <c r="C8" s="20" t="s">
        <v>99</v>
      </c>
      <c r="D8" s="21" t="s">
        <v>100</v>
      </c>
      <c r="E8" s="15">
        <f t="shared" si="1"/>
        <v>1800</v>
      </c>
      <c r="F8" s="22">
        <f t="shared" si="0"/>
        <v>2100</v>
      </c>
      <c r="G8" s="23">
        <v>30</v>
      </c>
      <c r="H8" s="24" t="str">
        <f t="shared" si="2"/>
        <v xml:space="preserve"> </v>
      </c>
      <c r="I8" s="46" t="s">
        <v>53</v>
      </c>
      <c r="J8" s="47" t="s">
        <v>120</v>
      </c>
      <c r="K8" s="48" t="s">
        <v>121</v>
      </c>
      <c r="L8" s="15">
        <v>1200</v>
      </c>
      <c r="M8" s="16">
        <f t="shared" ref="M8:M21" si="3">L8+300</f>
        <v>1500</v>
      </c>
      <c r="N8" s="17"/>
      <c r="O8" s="49"/>
      <c r="R8" s="65"/>
    </row>
    <row r="9" spans="1:23" ht="35.1" customHeight="1">
      <c r="B9" s="25"/>
      <c r="C9" s="20" t="s">
        <v>103</v>
      </c>
      <c r="D9" s="21" t="s">
        <v>104</v>
      </c>
      <c r="E9" s="15">
        <f t="shared" si="1"/>
        <v>1800</v>
      </c>
      <c r="F9" s="22">
        <f t="shared" si="0"/>
        <v>2100</v>
      </c>
      <c r="G9" s="23">
        <v>30</v>
      </c>
      <c r="H9" s="24" t="str">
        <f t="shared" si="2"/>
        <v xml:space="preserve"> </v>
      </c>
      <c r="I9" s="50"/>
      <c r="J9" s="47" t="s">
        <v>122</v>
      </c>
      <c r="K9" s="21" t="s">
        <v>123</v>
      </c>
      <c r="L9" s="51">
        <v>1200</v>
      </c>
      <c r="M9" s="16">
        <f t="shared" si="3"/>
        <v>1500</v>
      </c>
      <c r="N9" s="23"/>
      <c r="O9" s="136" t="s">
        <v>189</v>
      </c>
      <c r="R9" s="65"/>
    </row>
    <row r="10" spans="1:23" ht="35.1" customHeight="1">
      <c r="B10" s="25"/>
      <c r="C10" s="20" t="s">
        <v>107</v>
      </c>
      <c r="D10" s="21" t="s">
        <v>108</v>
      </c>
      <c r="E10" s="15">
        <f t="shared" si="1"/>
        <v>1800</v>
      </c>
      <c r="F10" s="22">
        <f t="shared" si="0"/>
        <v>2100</v>
      </c>
      <c r="G10" s="23">
        <v>30</v>
      </c>
      <c r="H10" s="24" t="str">
        <f t="shared" si="2"/>
        <v xml:space="preserve"> </v>
      </c>
      <c r="I10" s="50"/>
      <c r="J10" s="47" t="s">
        <v>124</v>
      </c>
      <c r="K10" s="21" t="s">
        <v>125</v>
      </c>
      <c r="L10" s="51">
        <v>1000</v>
      </c>
      <c r="M10" s="16">
        <f t="shared" si="3"/>
        <v>1300</v>
      </c>
      <c r="N10" s="23"/>
      <c r="O10" s="52"/>
      <c r="R10" s="65"/>
      <c r="S10" s="66">
        <f>SUMIFS(F4:F26,F4:F26,2100)</f>
        <v>39900</v>
      </c>
    </row>
    <row r="11" spans="1:23" ht="35.1" customHeight="1">
      <c r="B11" s="25" t="s">
        <v>8</v>
      </c>
      <c r="C11" s="20" t="s">
        <v>111</v>
      </c>
      <c r="D11" s="21" t="s">
        <v>112</v>
      </c>
      <c r="E11" s="15">
        <f t="shared" si="1"/>
        <v>1800</v>
      </c>
      <c r="F11" s="22">
        <f t="shared" si="0"/>
        <v>2100</v>
      </c>
      <c r="G11" s="23">
        <v>30</v>
      </c>
      <c r="H11" s="24" t="str">
        <f t="shared" si="2"/>
        <v xml:space="preserve"> </v>
      </c>
      <c r="I11" s="50"/>
      <c r="J11" s="47" t="s">
        <v>127</v>
      </c>
      <c r="K11" s="21" t="s">
        <v>128</v>
      </c>
      <c r="L11" s="51">
        <v>1000</v>
      </c>
      <c r="M11" s="16">
        <f t="shared" si="3"/>
        <v>1300</v>
      </c>
      <c r="N11" s="23"/>
      <c r="O11" s="136"/>
      <c r="S11" s="67">
        <f>SUMIFS(M4:M6,M4:M6,2100)</f>
        <v>0</v>
      </c>
    </row>
    <row r="12" spans="1:23" ht="35.1" customHeight="1" thickBot="1">
      <c r="B12" s="25"/>
      <c r="C12" s="20" t="s">
        <v>116</v>
      </c>
      <c r="D12" s="21" t="s">
        <v>117</v>
      </c>
      <c r="E12" s="15">
        <f t="shared" si="1"/>
        <v>1800</v>
      </c>
      <c r="F12" s="22">
        <f t="shared" si="0"/>
        <v>2100</v>
      </c>
      <c r="G12" s="23">
        <v>30</v>
      </c>
      <c r="H12" s="24" t="str">
        <f t="shared" si="2"/>
        <v xml:space="preserve"> </v>
      </c>
      <c r="I12" s="50"/>
      <c r="J12" s="47" t="s">
        <v>129</v>
      </c>
      <c r="K12" s="21" t="s">
        <v>130</v>
      </c>
      <c r="L12" s="51">
        <v>1100</v>
      </c>
      <c r="M12" s="16">
        <f t="shared" si="3"/>
        <v>1400</v>
      </c>
      <c r="N12" s="23"/>
      <c r="O12" s="136"/>
      <c r="R12" s="68" t="s">
        <v>115</v>
      </c>
      <c r="S12" s="69">
        <f>SUM(S10:S11)</f>
        <v>39900</v>
      </c>
      <c r="W12" s="70"/>
    </row>
    <row r="13" spans="1:23" ht="35.1" customHeight="1" thickTop="1">
      <c r="B13" s="25" t="s">
        <v>8</v>
      </c>
      <c r="C13" s="20" t="s">
        <v>118</v>
      </c>
      <c r="D13" s="27" t="s">
        <v>119</v>
      </c>
      <c r="E13" s="15">
        <f t="shared" si="1"/>
        <v>1800</v>
      </c>
      <c r="F13" s="22">
        <f t="shared" si="0"/>
        <v>2100</v>
      </c>
      <c r="G13" s="23">
        <v>30</v>
      </c>
      <c r="H13" s="24" t="str">
        <f t="shared" si="2"/>
        <v xml:space="preserve"> </v>
      </c>
      <c r="I13" s="50"/>
      <c r="J13" s="47" t="s">
        <v>131</v>
      </c>
      <c r="K13" s="21" t="s">
        <v>132</v>
      </c>
      <c r="L13" s="51">
        <v>1100</v>
      </c>
      <c r="M13" s="16">
        <f t="shared" si="3"/>
        <v>1400</v>
      </c>
      <c r="N13" s="23"/>
      <c r="O13" s="52"/>
    </row>
    <row r="14" spans="1:23" ht="35.1" customHeight="1">
      <c r="B14" s="25"/>
      <c r="C14" s="20" t="s">
        <v>83</v>
      </c>
      <c r="D14" s="29" t="s">
        <v>84</v>
      </c>
      <c r="E14" s="15">
        <f t="shared" si="1"/>
        <v>1800</v>
      </c>
      <c r="F14" s="16">
        <f t="shared" si="0"/>
        <v>2100</v>
      </c>
      <c r="G14" s="17">
        <v>30</v>
      </c>
      <c r="H14" s="24" t="str">
        <f t="shared" si="2"/>
        <v xml:space="preserve"> </v>
      </c>
      <c r="I14" s="50"/>
      <c r="J14" s="47" t="s">
        <v>133</v>
      </c>
      <c r="K14" s="21" t="s">
        <v>134</v>
      </c>
      <c r="L14" s="51">
        <v>1000</v>
      </c>
      <c r="M14" s="16">
        <f t="shared" si="3"/>
        <v>1300</v>
      </c>
      <c r="N14" s="23"/>
      <c r="O14" s="52"/>
      <c r="S14" s="71">
        <f>SUMIFS(M4:M5,O4:O5,"V")</f>
        <v>1680</v>
      </c>
    </row>
    <row r="15" spans="1:23" ht="35.1" customHeight="1">
      <c r="B15" s="19"/>
      <c r="C15" s="20" t="s">
        <v>87</v>
      </c>
      <c r="D15" s="21" t="s">
        <v>88</v>
      </c>
      <c r="E15" s="28">
        <f t="shared" si="1"/>
        <v>1800</v>
      </c>
      <c r="F15" s="22">
        <f t="shared" si="0"/>
        <v>2100</v>
      </c>
      <c r="G15" s="23">
        <v>30</v>
      </c>
      <c r="H15" s="18" t="str">
        <f t="shared" si="2"/>
        <v xml:space="preserve"> </v>
      </c>
      <c r="I15" s="50"/>
      <c r="J15" s="47" t="s">
        <v>142</v>
      </c>
      <c r="K15" s="21" t="s">
        <v>143</v>
      </c>
      <c r="L15" s="51">
        <v>1100</v>
      </c>
      <c r="M15" s="16">
        <f t="shared" si="3"/>
        <v>1400</v>
      </c>
      <c r="N15" s="23"/>
      <c r="O15" s="137"/>
      <c r="R15" s="64"/>
      <c r="S15" s="72">
        <f>SUMIFS(F4:F26,H4:H26,"V")</f>
        <v>1740</v>
      </c>
    </row>
    <row r="16" spans="1:23" ht="35.1" customHeight="1" thickBot="1">
      <c r="B16" s="25"/>
      <c r="C16" s="20" t="s">
        <v>89</v>
      </c>
      <c r="D16" s="30" t="s">
        <v>90</v>
      </c>
      <c r="E16" s="28">
        <f t="shared" si="1"/>
        <v>1800</v>
      </c>
      <c r="F16" s="22">
        <f t="shared" si="0"/>
        <v>2100</v>
      </c>
      <c r="G16" s="23">
        <v>30</v>
      </c>
      <c r="H16" s="31" t="str">
        <f t="shared" si="2"/>
        <v xml:space="preserve"> </v>
      </c>
      <c r="I16" s="50"/>
      <c r="J16" s="47" t="s">
        <v>137</v>
      </c>
      <c r="K16" s="30" t="s">
        <v>138</v>
      </c>
      <c r="L16" s="51">
        <v>1000</v>
      </c>
      <c r="M16" s="16">
        <f t="shared" si="3"/>
        <v>1300</v>
      </c>
      <c r="N16" s="23"/>
      <c r="O16" s="52"/>
      <c r="R16" s="5" t="s">
        <v>126</v>
      </c>
      <c r="S16" s="73">
        <f>SUM(S14,S15)</f>
        <v>3420</v>
      </c>
    </row>
    <row r="17" spans="1:19" ht="35.1" customHeight="1" thickTop="1">
      <c r="B17" s="25"/>
      <c r="C17" s="20" t="s">
        <v>93</v>
      </c>
      <c r="D17" s="30" t="s">
        <v>94</v>
      </c>
      <c r="E17" s="28">
        <f t="shared" si="1"/>
        <v>1800</v>
      </c>
      <c r="F17" s="22">
        <f t="shared" si="0"/>
        <v>2100</v>
      </c>
      <c r="G17" s="23">
        <v>30</v>
      </c>
      <c r="H17" s="31" t="str">
        <f t="shared" si="2"/>
        <v xml:space="preserve"> </v>
      </c>
      <c r="I17" s="50"/>
      <c r="J17" s="47" t="s">
        <v>135</v>
      </c>
      <c r="K17" s="21" t="s">
        <v>136</v>
      </c>
      <c r="L17" s="51">
        <v>1100</v>
      </c>
      <c r="M17" s="16">
        <f t="shared" si="3"/>
        <v>1400</v>
      </c>
      <c r="N17" s="127"/>
      <c r="O17" s="142"/>
    </row>
    <row r="18" spans="1:19" ht="35.1" customHeight="1">
      <c r="B18" s="25"/>
      <c r="C18" s="20" t="s">
        <v>97</v>
      </c>
      <c r="D18" s="30" t="s">
        <v>98</v>
      </c>
      <c r="E18" s="28">
        <f t="shared" si="1"/>
        <v>1800</v>
      </c>
      <c r="F18" s="22">
        <f t="shared" si="0"/>
        <v>2100</v>
      </c>
      <c r="G18" s="23">
        <v>30</v>
      </c>
      <c r="H18" s="31" t="str">
        <f t="shared" si="2"/>
        <v xml:space="preserve"> </v>
      </c>
      <c r="I18" s="53"/>
      <c r="J18" s="47" t="s">
        <v>147</v>
      </c>
      <c r="K18" s="21" t="s">
        <v>153</v>
      </c>
      <c r="L18" s="51">
        <v>1000</v>
      </c>
      <c r="M18" s="16">
        <f t="shared" si="3"/>
        <v>1300</v>
      </c>
      <c r="N18" s="127"/>
      <c r="O18" s="167"/>
      <c r="R18" s="74" t="s">
        <v>77</v>
      </c>
      <c r="S18" s="75">
        <f>SUM(M8:M26)</f>
        <v>20880</v>
      </c>
    </row>
    <row r="19" spans="1:19" ht="35.1" customHeight="1" thickBot="1">
      <c r="B19" s="25"/>
      <c r="C19" s="20" t="s">
        <v>101</v>
      </c>
      <c r="D19" s="30" t="s">
        <v>102</v>
      </c>
      <c r="E19" s="28">
        <f t="shared" si="1"/>
        <v>1800</v>
      </c>
      <c r="F19" s="22">
        <f t="shared" si="0"/>
        <v>2100</v>
      </c>
      <c r="G19" s="23">
        <v>30</v>
      </c>
      <c r="H19" s="31" t="str">
        <f t="shared" si="2"/>
        <v xml:space="preserve"> </v>
      </c>
      <c r="I19" s="53"/>
      <c r="J19" s="47" t="s">
        <v>148</v>
      </c>
      <c r="K19" s="21" t="s">
        <v>149</v>
      </c>
      <c r="L19" s="51">
        <v>1000</v>
      </c>
      <c r="M19" s="16">
        <f t="shared" si="3"/>
        <v>1300</v>
      </c>
      <c r="N19" s="45"/>
      <c r="O19" s="54"/>
      <c r="R19" s="5" t="s">
        <v>64</v>
      </c>
      <c r="S19" s="73">
        <f>SUM(S16,S12,S18)</f>
        <v>64200</v>
      </c>
    </row>
    <row r="20" spans="1:19" ht="35.1" customHeight="1" thickTop="1">
      <c r="B20" s="25"/>
      <c r="C20" s="20" t="s">
        <v>105</v>
      </c>
      <c r="D20" s="21" t="s">
        <v>106</v>
      </c>
      <c r="E20" s="28">
        <f t="shared" si="1"/>
        <v>1800</v>
      </c>
      <c r="F20" s="22">
        <f t="shared" si="0"/>
        <v>2100</v>
      </c>
      <c r="G20" s="23">
        <v>30</v>
      </c>
      <c r="H20" s="31" t="str">
        <f t="shared" si="2"/>
        <v xml:space="preserve"> </v>
      </c>
      <c r="I20" s="53"/>
      <c r="J20" s="47" t="s">
        <v>150</v>
      </c>
      <c r="K20" s="21" t="s">
        <v>151</v>
      </c>
      <c r="L20" s="51">
        <v>1100</v>
      </c>
      <c r="M20" s="16">
        <f t="shared" si="3"/>
        <v>1400</v>
      </c>
      <c r="N20" s="45"/>
      <c r="O20" s="138"/>
      <c r="R20" s="5" t="s">
        <v>68</v>
      </c>
      <c r="S20" s="76">
        <f>SUM(F4:F26,M4:M26)</f>
        <v>64200</v>
      </c>
    </row>
    <row r="21" spans="1:19" ht="35.1" customHeight="1">
      <c r="B21" s="25"/>
      <c r="C21" s="20" t="s">
        <v>109</v>
      </c>
      <c r="D21" s="21" t="s">
        <v>110</v>
      </c>
      <c r="E21" s="28">
        <f t="shared" si="1"/>
        <v>1800</v>
      </c>
      <c r="F21" s="22">
        <f t="shared" si="0"/>
        <v>2100</v>
      </c>
      <c r="G21" s="23">
        <v>30</v>
      </c>
      <c r="H21" s="31" t="str">
        <f t="shared" si="2"/>
        <v xml:space="preserve"> </v>
      </c>
      <c r="I21" s="53"/>
      <c r="J21" s="47" t="s">
        <v>154</v>
      </c>
      <c r="K21" s="21" t="s">
        <v>152</v>
      </c>
      <c r="L21" s="51">
        <v>1000</v>
      </c>
      <c r="M21" s="16">
        <f t="shared" si="3"/>
        <v>1300</v>
      </c>
      <c r="N21" s="45"/>
      <c r="O21" s="136"/>
      <c r="S21" s="76"/>
    </row>
    <row r="22" spans="1:19" ht="35.1" customHeight="1">
      <c r="B22" s="25"/>
      <c r="C22" s="20" t="s">
        <v>113</v>
      </c>
      <c r="D22" s="32" t="s">
        <v>114</v>
      </c>
      <c r="E22" s="28">
        <f t="shared" si="1"/>
        <v>600</v>
      </c>
      <c r="F22" s="33">
        <f t="shared" si="0"/>
        <v>900</v>
      </c>
      <c r="G22" s="23">
        <v>10</v>
      </c>
      <c r="H22" s="31" t="str">
        <f t="shared" si="2"/>
        <v>V</v>
      </c>
      <c r="I22" s="132"/>
      <c r="J22" s="133" t="s">
        <v>160</v>
      </c>
      <c r="K22" s="30" t="s">
        <v>159</v>
      </c>
      <c r="L22" s="51">
        <v>1000</v>
      </c>
      <c r="M22" s="16">
        <f>L22+300</f>
        <v>1300</v>
      </c>
      <c r="N22" s="45"/>
      <c r="O22" s="130"/>
      <c r="S22" s="76"/>
    </row>
    <row r="23" spans="1:19" ht="35.1" customHeight="1">
      <c r="B23" s="25"/>
      <c r="C23" s="140" t="s">
        <v>163</v>
      </c>
      <c r="D23" s="32" t="s">
        <v>164</v>
      </c>
      <c r="E23" s="28">
        <f t="shared" ref="E23" si="4">1800/30*G23</f>
        <v>1800</v>
      </c>
      <c r="F23" s="33">
        <f>E23+300</f>
        <v>2100</v>
      </c>
      <c r="G23" s="23">
        <v>30</v>
      </c>
      <c r="H23" s="31" t="str">
        <f t="shared" ref="H23:H24" si="5">IF(G23&lt;30,"V"," ")</f>
        <v xml:space="preserve"> </v>
      </c>
      <c r="I23" s="132"/>
      <c r="J23" s="133" t="s">
        <v>184</v>
      </c>
      <c r="K23" s="30" t="s">
        <v>180</v>
      </c>
      <c r="L23" s="51">
        <v>100</v>
      </c>
      <c r="M23" s="16">
        <f>L23+20</f>
        <v>120</v>
      </c>
      <c r="N23" s="45"/>
      <c r="O23" s="130"/>
      <c r="S23" s="76"/>
    </row>
    <row r="24" spans="1:19" ht="35.1" customHeight="1">
      <c r="B24" s="25"/>
      <c r="C24" s="20" t="s">
        <v>165</v>
      </c>
      <c r="D24" s="21" t="s">
        <v>166</v>
      </c>
      <c r="E24" s="28">
        <f>1800/30*G24</f>
        <v>1800</v>
      </c>
      <c r="F24" s="22">
        <f t="shared" ref="F24" si="6">E24+300</f>
        <v>2100</v>
      </c>
      <c r="G24" s="23">
        <v>30</v>
      </c>
      <c r="H24" s="18" t="str">
        <f t="shared" si="5"/>
        <v xml:space="preserve"> </v>
      </c>
      <c r="I24" s="132"/>
      <c r="J24" s="133" t="s">
        <v>185</v>
      </c>
      <c r="K24" s="30" t="s">
        <v>181</v>
      </c>
      <c r="L24" s="51">
        <v>100</v>
      </c>
      <c r="M24" s="16">
        <f>L24+20</f>
        <v>120</v>
      </c>
      <c r="N24" s="45"/>
      <c r="O24" s="130"/>
      <c r="S24" s="76"/>
    </row>
    <row r="25" spans="1:19" ht="35.1" customHeight="1">
      <c r="B25" s="168"/>
      <c r="C25" s="169"/>
      <c r="D25" s="170"/>
      <c r="E25" s="15"/>
      <c r="F25" s="171"/>
      <c r="G25" s="17"/>
      <c r="H25" s="31"/>
      <c r="I25" s="53"/>
      <c r="J25" s="133" t="s">
        <v>186</v>
      </c>
      <c r="K25" s="30" t="s">
        <v>182</v>
      </c>
      <c r="L25" s="51">
        <v>100</v>
      </c>
      <c r="M25" s="16">
        <f>L25+20</f>
        <v>120</v>
      </c>
      <c r="N25" s="45"/>
      <c r="O25" s="130"/>
      <c r="R25" s="3"/>
    </row>
    <row r="26" spans="1:19" ht="35.1" customHeight="1" thickBot="1">
      <c r="B26" s="34"/>
      <c r="C26" s="157"/>
      <c r="D26" s="158"/>
      <c r="E26" s="144"/>
      <c r="F26" s="145"/>
      <c r="G26" s="159"/>
      <c r="H26" s="156"/>
      <c r="I26" s="160"/>
      <c r="J26" s="173" t="s">
        <v>187</v>
      </c>
      <c r="K26" s="172" t="s">
        <v>183</v>
      </c>
      <c r="L26" s="174">
        <v>100</v>
      </c>
      <c r="M26" s="145">
        <f>L26+20</f>
        <v>120</v>
      </c>
      <c r="N26" s="161"/>
      <c r="O26" s="162"/>
      <c r="R26" s="3"/>
    </row>
    <row r="27" spans="1:19" ht="25.15" customHeight="1" thickTop="1">
      <c r="B27" s="35"/>
      <c r="C27" s="35"/>
      <c r="D27" s="131"/>
      <c r="E27" s="36"/>
      <c r="F27" s="37"/>
      <c r="G27" s="38"/>
      <c r="H27" s="39"/>
      <c r="I27" s="56"/>
      <c r="J27" s="57"/>
      <c r="K27" s="58"/>
      <c r="L27" s="59"/>
      <c r="M27" s="37"/>
      <c r="N27" s="38"/>
      <c r="O27" s="60"/>
    </row>
    <row r="28" spans="1:19" s="2" customFormat="1" ht="24.6" customHeight="1">
      <c r="A28" s="2" t="s">
        <v>8</v>
      </c>
      <c r="B28" s="186" t="s">
        <v>171</v>
      </c>
      <c r="C28" s="186"/>
      <c r="D28" s="186"/>
      <c r="E28" s="186"/>
      <c r="F28" s="186"/>
      <c r="G28" s="186"/>
      <c r="H28" s="186"/>
      <c r="I28" s="186"/>
      <c r="J28" s="186"/>
      <c r="K28" s="186"/>
      <c r="L28" s="186"/>
      <c r="M28" s="186"/>
      <c r="N28" s="186"/>
      <c r="O28" s="186"/>
      <c r="P28" s="61" t="s">
        <v>77</v>
      </c>
      <c r="Q28" s="77" t="s">
        <v>78</v>
      </c>
    </row>
    <row r="29" spans="1:19" s="2" customFormat="1" ht="24.6" customHeight="1">
      <c r="B29" s="187" t="s">
        <v>190</v>
      </c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62"/>
      <c r="Q29" s="77" t="s">
        <v>79</v>
      </c>
    </row>
    <row r="30" spans="1:19" s="2" customFormat="1" ht="24.6" customHeight="1">
      <c r="B30" s="186" t="s">
        <v>191</v>
      </c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6"/>
    </row>
    <row r="31" spans="1:19" s="2" customFormat="1" ht="19.5">
      <c r="B31" s="186" t="s">
        <v>192</v>
      </c>
      <c r="C31" s="186"/>
      <c r="D31" s="186"/>
      <c r="E31" s="186"/>
      <c r="F31" s="186"/>
      <c r="G31" s="186"/>
      <c r="H31" s="186"/>
      <c r="I31" s="186"/>
      <c r="J31" s="186"/>
      <c r="K31" s="186"/>
      <c r="L31" s="186"/>
      <c r="M31" s="186"/>
      <c r="N31" s="186"/>
      <c r="O31" s="186"/>
      <c r="R31" s="78"/>
    </row>
  </sheetData>
  <mergeCells count="7">
    <mergeCell ref="B31:O31"/>
    <mergeCell ref="B1:O1"/>
    <mergeCell ref="L2:O2"/>
    <mergeCell ref="I7:O7"/>
    <mergeCell ref="B28:O28"/>
    <mergeCell ref="B29:O29"/>
    <mergeCell ref="B30:O30"/>
  </mergeCells>
  <phoneticPr fontId="26" type="noConversion"/>
  <conditionalFormatting sqref="G4:G26">
    <cfRule type="cellIs" dxfId="14" priority="2" stopIfTrue="1" operator="lessThan">
      <formula>30</formula>
    </cfRule>
  </conditionalFormatting>
  <conditionalFormatting sqref="N4:N5">
    <cfRule type="cellIs" dxfId="13" priority="1" stopIfTrue="1" operator="lessThan">
      <formula>30</formula>
    </cfRule>
  </conditionalFormatting>
  <printOptions horizontalCentered="1"/>
  <pageMargins left="0.23622047244094499" right="0.23622047244094499" top="0.35433070866141703" bottom="0.35433070866141703" header="0" footer="0"/>
  <pageSetup paperSize="9" scale="6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38B51-565B-4DAC-B9E0-2D34AE615AA9}">
  <sheetPr>
    <pageSetUpPr fitToPage="1"/>
  </sheetPr>
  <dimension ref="A1:S41"/>
  <sheetViews>
    <sheetView topLeftCell="A5" zoomScale="70" zoomScaleNormal="70" workbookViewId="0">
      <selection activeCell="R13" sqref="R13"/>
    </sheetView>
  </sheetViews>
  <sheetFormatPr defaultColWidth="9" defaultRowHeight="16.5"/>
  <cols>
    <col min="1" max="1" width="1.875" style="3" customWidth="1"/>
    <col min="2" max="2" width="10" style="4" customWidth="1"/>
    <col min="3" max="3" width="9.875" style="4" customWidth="1"/>
    <col min="4" max="4" width="10.875" style="4" customWidth="1"/>
    <col min="5" max="5" width="10.5" style="4" customWidth="1"/>
    <col min="6" max="6" width="11" style="4" customWidth="1"/>
    <col min="7" max="7" width="9" style="4" customWidth="1"/>
    <col min="8" max="8" width="10.625" style="4" customWidth="1"/>
    <col min="9" max="9" width="10" style="4" customWidth="1"/>
    <col min="10" max="10" width="9.875" style="4" customWidth="1"/>
    <col min="11" max="11" width="10.875" style="4" customWidth="1"/>
    <col min="12" max="12" width="10.5" style="4" customWidth="1"/>
    <col min="13" max="13" width="11" style="4" customWidth="1"/>
    <col min="14" max="14" width="9" style="4" customWidth="1"/>
    <col min="15" max="15" width="10.625" style="4" customWidth="1"/>
    <col min="16" max="16" width="9" style="3" customWidth="1"/>
    <col min="17" max="17" width="19.5" style="3" customWidth="1"/>
    <col min="18" max="18" width="16.75" style="3" customWidth="1"/>
    <col min="19" max="19" width="16.5" style="3" customWidth="1"/>
    <col min="20" max="256" width="9" style="3"/>
    <col min="257" max="257" width="1.875" style="3" customWidth="1"/>
    <col min="258" max="258" width="10" style="3" customWidth="1"/>
    <col min="259" max="259" width="9.875" style="3" customWidth="1"/>
    <col min="260" max="260" width="10.875" style="3" customWidth="1"/>
    <col min="261" max="261" width="10.5" style="3" customWidth="1"/>
    <col min="262" max="262" width="11" style="3" customWidth="1"/>
    <col min="263" max="263" width="9" style="3"/>
    <col min="264" max="264" width="10.625" style="3" customWidth="1"/>
    <col min="265" max="265" width="10" style="3" customWidth="1"/>
    <col min="266" max="266" width="9.875" style="3" customWidth="1"/>
    <col min="267" max="267" width="10.875" style="3" customWidth="1"/>
    <col min="268" max="268" width="10.5" style="3" customWidth="1"/>
    <col min="269" max="269" width="11" style="3" customWidth="1"/>
    <col min="270" max="270" width="9" style="3"/>
    <col min="271" max="271" width="10.625" style="3" customWidth="1"/>
    <col min="272" max="272" width="9" style="3"/>
    <col min="273" max="273" width="19.5" style="3" customWidth="1"/>
    <col min="274" max="274" width="16.75" style="3" customWidth="1"/>
    <col min="275" max="275" width="16.5" style="3" customWidth="1"/>
    <col min="276" max="512" width="9" style="3"/>
    <col min="513" max="513" width="1.875" style="3" customWidth="1"/>
    <col min="514" max="514" width="10" style="3" customWidth="1"/>
    <col min="515" max="515" width="9.875" style="3" customWidth="1"/>
    <col min="516" max="516" width="10.875" style="3" customWidth="1"/>
    <col min="517" max="517" width="10.5" style="3" customWidth="1"/>
    <col min="518" max="518" width="11" style="3" customWidth="1"/>
    <col min="519" max="519" width="9" style="3"/>
    <col min="520" max="520" width="10.625" style="3" customWidth="1"/>
    <col min="521" max="521" width="10" style="3" customWidth="1"/>
    <col min="522" max="522" width="9.875" style="3" customWidth="1"/>
    <col min="523" max="523" width="10.875" style="3" customWidth="1"/>
    <col min="524" max="524" width="10.5" style="3" customWidth="1"/>
    <col min="525" max="525" width="11" style="3" customWidth="1"/>
    <col min="526" max="526" width="9" style="3"/>
    <col min="527" max="527" width="10.625" style="3" customWidth="1"/>
    <col min="528" max="528" width="9" style="3"/>
    <col min="529" max="529" width="19.5" style="3" customWidth="1"/>
    <col min="530" max="530" width="16.75" style="3" customWidth="1"/>
    <col min="531" max="531" width="16.5" style="3" customWidth="1"/>
    <col min="532" max="768" width="9" style="3"/>
    <col min="769" max="769" width="1.875" style="3" customWidth="1"/>
    <col min="770" max="770" width="10" style="3" customWidth="1"/>
    <col min="771" max="771" width="9.875" style="3" customWidth="1"/>
    <col min="772" max="772" width="10.875" style="3" customWidth="1"/>
    <col min="773" max="773" width="10.5" style="3" customWidth="1"/>
    <col min="774" max="774" width="11" style="3" customWidth="1"/>
    <col min="775" max="775" width="9" style="3"/>
    <col min="776" max="776" width="10.625" style="3" customWidth="1"/>
    <col min="777" max="777" width="10" style="3" customWidth="1"/>
    <col min="778" max="778" width="9.875" style="3" customWidth="1"/>
    <col min="779" max="779" width="10.875" style="3" customWidth="1"/>
    <col min="780" max="780" width="10.5" style="3" customWidth="1"/>
    <col min="781" max="781" width="11" style="3" customWidth="1"/>
    <col min="782" max="782" width="9" style="3"/>
    <col min="783" max="783" width="10.625" style="3" customWidth="1"/>
    <col min="784" max="784" width="9" style="3"/>
    <col min="785" max="785" width="19.5" style="3" customWidth="1"/>
    <col min="786" max="786" width="16.75" style="3" customWidth="1"/>
    <col min="787" max="787" width="16.5" style="3" customWidth="1"/>
    <col min="788" max="1024" width="9" style="3"/>
    <col min="1025" max="1025" width="1.875" style="3" customWidth="1"/>
    <col min="1026" max="1026" width="10" style="3" customWidth="1"/>
    <col min="1027" max="1027" width="9.875" style="3" customWidth="1"/>
    <col min="1028" max="1028" width="10.875" style="3" customWidth="1"/>
    <col min="1029" max="1029" width="10.5" style="3" customWidth="1"/>
    <col min="1030" max="1030" width="11" style="3" customWidth="1"/>
    <col min="1031" max="1031" width="9" style="3"/>
    <col min="1032" max="1032" width="10.625" style="3" customWidth="1"/>
    <col min="1033" max="1033" width="10" style="3" customWidth="1"/>
    <col min="1034" max="1034" width="9.875" style="3" customWidth="1"/>
    <col min="1035" max="1035" width="10.875" style="3" customWidth="1"/>
    <col min="1036" max="1036" width="10.5" style="3" customWidth="1"/>
    <col min="1037" max="1037" width="11" style="3" customWidth="1"/>
    <col min="1038" max="1038" width="9" style="3"/>
    <col min="1039" max="1039" width="10.625" style="3" customWidth="1"/>
    <col min="1040" max="1040" width="9" style="3"/>
    <col min="1041" max="1041" width="19.5" style="3" customWidth="1"/>
    <col min="1042" max="1042" width="16.75" style="3" customWidth="1"/>
    <col min="1043" max="1043" width="16.5" style="3" customWidth="1"/>
    <col min="1044" max="1280" width="9" style="3"/>
    <col min="1281" max="1281" width="1.875" style="3" customWidth="1"/>
    <col min="1282" max="1282" width="10" style="3" customWidth="1"/>
    <col min="1283" max="1283" width="9.875" style="3" customWidth="1"/>
    <col min="1284" max="1284" width="10.875" style="3" customWidth="1"/>
    <col min="1285" max="1285" width="10.5" style="3" customWidth="1"/>
    <col min="1286" max="1286" width="11" style="3" customWidth="1"/>
    <col min="1287" max="1287" width="9" style="3"/>
    <col min="1288" max="1288" width="10.625" style="3" customWidth="1"/>
    <col min="1289" max="1289" width="10" style="3" customWidth="1"/>
    <col min="1290" max="1290" width="9.875" style="3" customWidth="1"/>
    <col min="1291" max="1291" width="10.875" style="3" customWidth="1"/>
    <col min="1292" max="1292" width="10.5" style="3" customWidth="1"/>
    <col min="1293" max="1293" width="11" style="3" customWidth="1"/>
    <col min="1294" max="1294" width="9" style="3"/>
    <col min="1295" max="1295" width="10.625" style="3" customWidth="1"/>
    <col min="1296" max="1296" width="9" style="3"/>
    <col min="1297" max="1297" width="19.5" style="3" customWidth="1"/>
    <col min="1298" max="1298" width="16.75" style="3" customWidth="1"/>
    <col min="1299" max="1299" width="16.5" style="3" customWidth="1"/>
    <col min="1300" max="1536" width="9" style="3"/>
    <col min="1537" max="1537" width="1.875" style="3" customWidth="1"/>
    <col min="1538" max="1538" width="10" style="3" customWidth="1"/>
    <col min="1539" max="1539" width="9.875" style="3" customWidth="1"/>
    <col min="1540" max="1540" width="10.875" style="3" customWidth="1"/>
    <col min="1541" max="1541" width="10.5" style="3" customWidth="1"/>
    <col min="1542" max="1542" width="11" style="3" customWidth="1"/>
    <col min="1543" max="1543" width="9" style="3"/>
    <col min="1544" max="1544" width="10.625" style="3" customWidth="1"/>
    <col min="1545" max="1545" width="10" style="3" customWidth="1"/>
    <col min="1546" max="1546" width="9.875" style="3" customWidth="1"/>
    <col min="1547" max="1547" width="10.875" style="3" customWidth="1"/>
    <col min="1548" max="1548" width="10.5" style="3" customWidth="1"/>
    <col min="1549" max="1549" width="11" style="3" customWidth="1"/>
    <col min="1550" max="1550" width="9" style="3"/>
    <col min="1551" max="1551" width="10.625" style="3" customWidth="1"/>
    <col min="1552" max="1552" width="9" style="3"/>
    <col min="1553" max="1553" width="19.5" style="3" customWidth="1"/>
    <col min="1554" max="1554" width="16.75" style="3" customWidth="1"/>
    <col min="1555" max="1555" width="16.5" style="3" customWidth="1"/>
    <col min="1556" max="1792" width="9" style="3"/>
    <col min="1793" max="1793" width="1.875" style="3" customWidth="1"/>
    <col min="1794" max="1794" width="10" style="3" customWidth="1"/>
    <col min="1795" max="1795" width="9.875" style="3" customWidth="1"/>
    <col min="1796" max="1796" width="10.875" style="3" customWidth="1"/>
    <col min="1797" max="1797" width="10.5" style="3" customWidth="1"/>
    <col min="1798" max="1798" width="11" style="3" customWidth="1"/>
    <col min="1799" max="1799" width="9" style="3"/>
    <col min="1800" max="1800" width="10.625" style="3" customWidth="1"/>
    <col min="1801" max="1801" width="10" style="3" customWidth="1"/>
    <col min="1802" max="1802" width="9.875" style="3" customWidth="1"/>
    <col min="1803" max="1803" width="10.875" style="3" customWidth="1"/>
    <col min="1804" max="1804" width="10.5" style="3" customWidth="1"/>
    <col min="1805" max="1805" width="11" style="3" customWidth="1"/>
    <col min="1806" max="1806" width="9" style="3"/>
    <col min="1807" max="1807" width="10.625" style="3" customWidth="1"/>
    <col min="1808" max="1808" width="9" style="3"/>
    <col min="1809" max="1809" width="19.5" style="3" customWidth="1"/>
    <col min="1810" max="1810" width="16.75" style="3" customWidth="1"/>
    <col min="1811" max="1811" width="16.5" style="3" customWidth="1"/>
    <col min="1812" max="2048" width="9" style="3"/>
    <col min="2049" max="2049" width="1.875" style="3" customWidth="1"/>
    <col min="2050" max="2050" width="10" style="3" customWidth="1"/>
    <col min="2051" max="2051" width="9.875" style="3" customWidth="1"/>
    <col min="2052" max="2052" width="10.875" style="3" customWidth="1"/>
    <col min="2053" max="2053" width="10.5" style="3" customWidth="1"/>
    <col min="2054" max="2054" width="11" style="3" customWidth="1"/>
    <col min="2055" max="2055" width="9" style="3"/>
    <col min="2056" max="2056" width="10.625" style="3" customWidth="1"/>
    <col min="2057" max="2057" width="10" style="3" customWidth="1"/>
    <col min="2058" max="2058" width="9.875" style="3" customWidth="1"/>
    <col min="2059" max="2059" width="10.875" style="3" customWidth="1"/>
    <col min="2060" max="2060" width="10.5" style="3" customWidth="1"/>
    <col min="2061" max="2061" width="11" style="3" customWidth="1"/>
    <col min="2062" max="2062" width="9" style="3"/>
    <col min="2063" max="2063" width="10.625" style="3" customWidth="1"/>
    <col min="2064" max="2064" width="9" style="3"/>
    <col min="2065" max="2065" width="19.5" style="3" customWidth="1"/>
    <col min="2066" max="2066" width="16.75" style="3" customWidth="1"/>
    <col min="2067" max="2067" width="16.5" style="3" customWidth="1"/>
    <col min="2068" max="2304" width="9" style="3"/>
    <col min="2305" max="2305" width="1.875" style="3" customWidth="1"/>
    <col min="2306" max="2306" width="10" style="3" customWidth="1"/>
    <col min="2307" max="2307" width="9.875" style="3" customWidth="1"/>
    <col min="2308" max="2308" width="10.875" style="3" customWidth="1"/>
    <col min="2309" max="2309" width="10.5" style="3" customWidth="1"/>
    <col min="2310" max="2310" width="11" style="3" customWidth="1"/>
    <col min="2311" max="2311" width="9" style="3"/>
    <col min="2312" max="2312" width="10.625" style="3" customWidth="1"/>
    <col min="2313" max="2313" width="10" style="3" customWidth="1"/>
    <col min="2314" max="2314" width="9.875" style="3" customWidth="1"/>
    <col min="2315" max="2315" width="10.875" style="3" customWidth="1"/>
    <col min="2316" max="2316" width="10.5" style="3" customWidth="1"/>
    <col min="2317" max="2317" width="11" style="3" customWidth="1"/>
    <col min="2318" max="2318" width="9" style="3"/>
    <col min="2319" max="2319" width="10.625" style="3" customWidth="1"/>
    <col min="2320" max="2320" width="9" style="3"/>
    <col min="2321" max="2321" width="19.5" style="3" customWidth="1"/>
    <col min="2322" max="2322" width="16.75" style="3" customWidth="1"/>
    <col min="2323" max="2323" width="16.5" style="3" customWidth="1"/>
    <col min="2324" max="2560" width="9" style="3"/>
    <col min="2561" max="2561" width="1.875" style="3" customWidth="1"/>
    <col min="2562" max="2562" width="10" style="3" customWidth="1"/>
    <col min="2563" max="2563" width="9.875" style="3" customWidth="1"/>
    <col min="2564" max="2564" width="10.875" style="3" customWidth="1"/>
    <col min="2565" max="2565" width="10.5" style="3" customWidth="1"/>
    <col min="2566" max="2566" width="11" style="3" customWidth="1"/>
    <col min="2567" max="2567" width="9" style="3"/>
    <col min="2568" max="2568" width="10.625" style="3" customWidth="1"/>
    <col min="2569" max="2569" width="10" style="3" customWidth="1"/>
    <col min="2570" max="2570" width="9.875" style="3" customWidth="1"/>
    <col min="2571" max="2571" width="10.875" style="3" customWidth="1"/>
    <col min="2572" max="2572" width="10.5" style="3" customWidth="1"/>
    <col min="2573" max="2573" width="11" style="3" customWidth="1"/>
    <col min="2574" max="2574" width="9" style="3"/>
    <col min="2575" max="2575" width="10.625" style="3" customWidth="1"/>
    <col min="2576" max="2576" width="9" style="3"/>
    <col min="2577" max="2577" width="19.5" style="3" customWidth="1"/>
    <col min="2578" max="2578" width="16.75" style="3" customWidth="1"/>
    <col min="2579" max="2579" width="16.5" style="3" customWidth="1"/>
    <col min="2580" max="2816" width="9" style="3"/>
    <col min="2817" max="2817" width="1.875" style="3" customWidth="1"/>
    <col min="2818" max="2818" width="10" style="3" customWidth="1"/>
    <col min="2819" max="2819" width="9.875" style="3" customWidth="1"/>
    <col min="2820" max="2820" width="10.875" style="3" customWidth="1"/>
    <col min="2821" max="2821" width="10.5" style="3" customWidth="1"/>
    <col min="2822" max="2822" width="11" style="3" customWidth="1"/>
    <col min="2823" max="2823" width="9" style="3"/>
    <col min="2824" max="2824" width="10.625" style="3" customWidth="1"/>
    <col min="2825" max="2825" width="10" style="3" customWidth="1"/>
    <col min="2826" max="2826" width="9.875" style="3" customWidth="1"/>
    <col min="2827" max="2827" width="10.875" style="3" customWidth="1"/>
    <col min="2828" max="2828" width="10.5" style="3" customWidth="1"/>
    <col min="2829" max="2829" width="11" style="3" customWidth="1"/>
    <col min="2830" max="2830" width="9" style="3"/>
    <col min="2831" max="2831" width="10.625" style="3" customWidth="1"/>
    <col min="2832" max="2832" width="9" style="3"/>
    <col min="2833" max="2833" width="19.5" style="3" customWidth="1"/>
    <col min="2834" max="2834" width="16.75" style="3" customWidth="1"/>
    <col min="2835" max="2835" width="16.5" style="3" customWidth="1"/>
    <col min="2836" max="3072" width="9" style="3"/>
    <col min="3073" max="3073" width="1.875" style="3" customWidth="1"/>
    <col min="3074" max="3074" width="10" style="3" customWidth="1"/>
    <col min="3075" max="3075" width="9.875" style="3" customWidth="1"/>
    <col min="3076" max="3076" width="10.875" style="3" customWidth="1"/>
    <col min="3077" max="3077" width="10.5" style="3" customWidth="1"/>
    <col min="3078" max="3078" width="11" style="3" customWidth="1"/>
    <col min="3079" max="3079" width="9" style="3"/>
    <col min="3080" max="3080" width="10.625" style="3" customWidth="1"/>
    <col min="3081" max="3081" width="10" style="3" customWidth="1"/>
    <col min="3082" max="3082" width="9.875" style="3" customWidth="1"/>
    <col min="3083" max="3083" width="10.875" style="3" customWidth="1"/>
    <col min="3084" max="3084" width="10.5" style="3" customWidth="1"/>
    <col min="3085" max="3085" width="11" style="3" customWidth="1"/>
    <col min="3086" max="3086" width="9" style="3"/>
    <col min="3087" max="3087" width="10.625" style="3" customWidth="1"/>
    <col min="3088" max="3088" width="9" style="3"/>
    <col min="3089" max="3089" width="19.5" style="3" customWidth="1"/>
    <col min="3090" max="3090" width="16.75" style="3" customWidth="1"/>
    <col min="3091" max="3091" width="16.5" style="3" customWidth="1"/>
    <col min="3092" max="3328" width="9" style="3"/>
    <col min="3329" max="3329" width="1.875" style="3" customWidth="1"/>
    <col min="3330" max="3330" width="10" style="3" customWidth="1"/>
    <col min="3331" max="3331" width="9.875" style="3" customWidth="1"/>
    <col min="3332" max="3332" width="10.875" style="3" customWidth="1"/>
    <col min="3333" max="3333" width="10.5" style="3" customWidth="1"/>
    <col min="3334" max="3334" width="11" style="3" customWidth="1"/>
    <col min="3335" max="3335" width="9" style="3"/>
    <col min="3336" max="3336" width="10.625" style="3" customWidth="1"/>
    <col min="3337" max="3337" width="10" style="3" customWidth="1"/>
    <col min="3338" max="3338" width="9.875" style="3" customWidth="1"/>
    <col min="3339" max="3339" width="10.875" style="3" customWidth="1"/>
    <col min="3340" max="3340" width="10.5" style="3" customWidth="1"/>
    <col min="3341" max="3341" width="11" style="3" customWidth="1"/>
    <col min="3342" max="3342" width="9" style="3"/>
    <col min="3343" max="3343" width="10.625" style="3" customWidth="1"/>
    <col min="3344" max="3344" width="9" style="3"/>
    <col min="3345" max="3345" width="19.5" style="3" customWidth="1"/>
    <col min="3346" max="3346" width="16.75" style="3" customWidth="1"/>
    <col min="3347" max="3347" width="16.5" style="3" customWidth="1"/>
    <col min="3348" max="3584" width="9" style="3"/>
    <col min="3585" max="3585" width="1.875" style="3" customWidth="1"/>
    <col min="3586" max="3586" width="10" style="3" customWidth="1"/>
    <col min="3587" max="3587" width="9.875" style="3" customWidth="1"/>
    <col min="3588" max="3588" width="10.875" style="3" customWidth="1"/>
    <col min="3589" max="3589" width="10.5" style="3" customWidth="1"/>
    <col min="3590" max="3590" width="11" style="3" customWidth="1"/>
    <col min="3591" max="3591" width="9" style="3"/>
    <col min="3592" max="3592" width="10.625" style="3" customWidth="1"/>
    <col min="3593" max="3593" width="10" style="3" customWidth="1"/>
    <col min="3594" max="3594" width="9.875" style="3" customWidth="1"/>
    <col min="3595" max="3595" width="10.875" style="3" customWidth="1"/>
    <col min="3596" max="3596" width="10.5" style="3" customWidth="1"/>
    <col min="3597" max="3597" width="11" style="3" customWidth="1"/>
    <col min="3598" max="3598" width="9" style="3"/>
    <col min="3599" max="3599" width="10.625" style="3" customWidth="1"/>
    <col min="3600" max="3600" width="9" style="3"/>
    <col min="3601" max="3601" width="19.5" style="3" customWidth="1"/>
    <col min="3602" max="3602" width="16.75" style="3" customWidth="1"/>
    <col min="3603" max="3603" width="16.5" style="3" customWidth="1"/>
    <col min="3604" max="3840" width="9" style="3"/>
    <col min="3841" max="3841" width="1.875" style="3" customWidth="1"/>
    <col min="3842" max="3842" width="10" style="3" customWidth="1"/>
    <col min="3843" max="3843" width="9.875" style="3" customWidth="1"/>
    <col min="3844" max="3844" width="10.875" style="3" customWidth="1"/>
    <col min="3845" max="3845" width="10.5" style="3" customWidth="1"/>
    <col min="3846" max="3846" width="11" style="3" customWidth="1"/>
    <col min="3847" max="3847" width="9" style="3"/>
    <col min="3848" max="3848" width="10.625" style="3" customWidth="1"/>
    <col min="3849" max="3849" width="10" style="3" customWidth="1"/>
    <col min="3850" max="3850" width="9.875" style="3" customWidth="1"/>
    <col min="3851" max="3851" width="10.875" style="3" customWidth="1"/>
    <col min="3852" max="3852" width="10.5" style="3" customWidth="1"/>
    <col min="3853" max="3853" width="11" style="3" customWidth="1"/>
    <col min="3854" max="3854" width="9" style="3"/>
    <col min="3855" max="3855" width="10.625" style="3" customWidth="1"/>
    <col min="3856" max="3856" width="9" style="3"/>
    <col min="3857" max="3857" width="19.5" style="3" customWidth="1"/>
    <col min="3858" max="3858" width="16.75" style="3" customWidth="1"/>
    <col min="3859" max="3859" width="16.5" style="3" customWidth="1"/>
    <col min="3860" max="4096" width="9" style="3"/>
    <col min="4097" max="4097" width="1.875" style="3" customWidth="1"/>
    <col min="4098" max="4098" width="10" style="3" customWidth="1"/>
    <col min="4099" max="4099" width="9.875" style="3" customWidth="1"/>
    <col min="4100" max="4100" width="10.875" style="3" customWidth="1"/>
    <col min="4101" max="4101" width="10.5" style="3" customWidth="1"/>
    <col min="4102" max="4102" width="11" style="3" customWidth="1"/>
    <col min="4103" max="4103" width="9" style="3"/>
    <col min="4104" max="4104" width="10.625" style="3" customWidth="1"/>
    <col min="4105" max="4105" width="10" style="3" customWidth="1"/>
    <col min="4106" max="4106" width="9.875" style="3" customWidth="1"/>
    <col min="4107" max="4107" width="10.875" style="3" customWidth="1"/>
    <col min="4108" max="4108" width="10.5" style="3" customWidth="1"/>
    <col min="4109" max="4109" width="11" style="3" customWidth="1"/>
    <col min="4110" max="4110" width="9" style="3"/>
    <col min="4111" max="4111" width="10.625" style="3" customWidth="1"/>
    <col min="4112" max="4112" width="9" style="3"/>
    <col min="4113" max="4113" width="19.5" style="3" customWidth="1"/>
    <col min="4114" max="4114" width="16.75" style="3" customWidth="1"/>
    <col min="4115" max="4115" width="16.5" style="3" customWidth="1"/>
    <col min="4116" max="4352" width="9" style="3"/>
    <col min="4353" max="4353" width="1.875" style="3" customWidth="1"/>
    <col min="4354" max="4354" width="10" style="3" customWidth="1"/>
    <col min="4355" max="4355" width="9.875" style="3" customWidth="1"/>
    <col min="4356" max="4356" width="10.875" style="3" customWidth="1"/>
    <col min="4357" max="4357" width="10.5" style="3" customWidth="1"/>
    <col min="4358" max="4358" width="11" style="3" customWidth="1"/>
    <col min="4359" max="4359" width="9" style="3"/>
    <col min="4360" max="4360" width="10.625" style="3" customWidth="1"/>
    <col min="4361" max="4361" width="10" style="3" customWidth="1"/>
    <col min="4362" max="4362" width="9.875" style="3" customWidth="1"/>
    <col min="4363" max="4363" width="10.875" style="3" customWidth="1"/>
    <col min="4364" max="4364" width="10.5" style="3" customWidth="1"/>
    <col min="4365" max="4365" width="11" style="3" customWidth="1"/>
    <col min="4366" max="4366" width="9" style="3"/>
    <col min="4367" max="4367" width="10.625" style="3" customWidth="1"/>
    <col min="4368" max="4368" width="9" style="3"/>
    <col min="4369" max="4369" width="19.5" style="3" customWidth="1"/>
    <col min="4370" max="4370" width="16.75" style="3" customWidth="1"/>
    <col min="4371" max="4371" width="16.5" style="3" customWidth="1"/>
    <col min="4372" max="4608" width="9" style="3"/>
    <col min="4609" max="4609" width="1.875" style="3" customWidth="1"/>
    <col min="4610" max="4610" width="10" style="3" customWidth="1"/>
    <col min="4611" max="4611" width="9.875" style="3" customWidth="1"/>
    <col min="4612" max="4612" width="10.875" style="3" customWidth="1"/>
    <col min="4613" max="4613" width="10.5" style="3" customWidth="1"/>
    <col min="4614" max="4614" width="11" style="3" customWidth="1"/>
    <col min="4615" max="4615" width="9" style="3"/>
    <col min="4616" max="4616" width="10.625" style="3" customWidth="1"/>
    <col min="4617" max="4617" width="10" style="3" customWidth="1"/>
    <col min="4618" max="4618" width="9.875" style="3" customWidth="1"/>
    <col min="4619" max="4619" width="10.875" style="3" customWidth="1"/>
    <col min="4620" max="4620" width="10.5" style="3" customWidth="1"/>
    <col min="4621" max="4621" width="11" style="3" customWidth="1"/>
    <col min="4622" max="4622" width="9" style="3"/>
    <col min="4623" max="4623" width="10.625" style="3" customWidth="1"/>
    <col min="4624" max="4624" width="9" style="3"/>
    <col min="4625" max="4625" width="19.5" style="3" customWidth="1"/>
    <col min="4626" max="4626" width="16.75" style="3" customWidth="1"/>
    <col min="4627" max="4627" width="16.5" style="3" customWidth="1"/>
    <col min="4628" max="4864" width="9" style="3"/>
    <col min="4865" max="4865" width="1.875" style="3" customWidth="1"/>
    <col min="4866" max="4866" width="10" style="3" customWidth="1"/>
    <col min="4867" max="4867" width="9.875" style="3" customWidth="1"/>
    <col min="4868" max="4868" width="10.875" style="3" customWidth="1"/>
    <col min="4869" max="4869" width="10.5" style="3" customWidth="1"/>
    <col min="4870" max="4870" width="11" style="3" customWidth="1"/>
    <col min="4871" max="4871" width="9" style="3"/>
    <col min="4872" max="4872" width="10.625" style="3" customWidth="1"/>
    <col min="4873" max="4873" width="10" style="3" customWidth="1"/>
    <col min="4874" max="4874" width="9.875" style="3" customWidth="1"/>
    <col min="4875" max="4875" width="10.875" style="3" customWidth="1"/>
    <col min="4876" max="4876" width="10.5" style="3" customWidth="1"/>
    <col min="4877" max="4877" width="11" style="3" customWidth="1"/>
    <col min="4878" max="4878" width="9" style="3"/>
    <col min="4879" max="4879" width="10.625" style="3" customWidth="1"/>
    <col min="4880" max="4880" width="9" style="3"/>
    <col min="4881" max="4881" width="19.5" style="3" customWidth="1"/>
    <col min="4882" max="4882" width="16.75" style="3" customWidth="1"/>
    <col min="4883" max="4883" width="16.5" style="3" customWidth="1"/>
    <col min="4884" max="5120" width="9" style="3"/>
    <col min="5121" max="5121" width="1.875" style="3" customWidth="1"/>
    <col min="5122" max="5122" width="10" style="3" customWidth="1"/>
    <col min="5123" max="5123" width="9.875" style="3" customWidth="1"/>
    <col min="5124" max="5124" width="10.875" style="3" customWidth="1"/>
    <col min="5125" max="5125" width="10.5" style="3" customWidth="1"/>
    <col min="5126" max="5126" width="11" style="3" customWidth="1"/>
    <col min="5127" max="5127" width="9" style="3"/>
    <col min="5128" max="5128" width="10.625" style="3" customWidth="1"/>
    <col min="5129" max="5129" width="10" style="3" customWidth="1"/>
    <col min="5130" max="5130" width="9.875" style="3" customWidth="1"/>
    <col min="5131" max="5131" width="10.875" style="3" customWidth="1"/>
    <col min="5132" max="5132" width="10.5" style="3" customWidth="1"/>
    <col min="5133" max="5133" width="11" style="3" customWidth="1"/>
    <col min="5134" max="5134" width="9" style="3"/>
    <col min="5135" max="5135" width="10.625" style="3" customWidth="1"/>
    <col min="5136" max="5136" width="9" style="3"/>
    <col min="5137" max="5137" width="19.5" style="3" customWidth="1"/>
    <col min="5138" max="5138" width="16.75" style="3" customWidth="1"/>
    <col min="5139" max="5139" width="16.5" style="3" customWidth="1"/>
    <col min="5140" max="5376" width="9" style="3"/>
    <col min="5377" max="5377" width="1.875" style="3" customWidth="1"/>
    <col min="5378" max="5378" width="10" style="3" customWidth="1"/>
    <col min="5379" max="5379" width="9.875" style="3" customWidth="1"/>
    <col min="5380" max="5380" width="10.875" style="3" customWidth="1"/>
    <col min="5381" max="5381" width="10.5" style="3" customWidth="1"/>
    <col min="5382" max="5382" width="11" style="3" customWidth="1"/>
    <col min="5383" max="5383" width="9" style="3"/>
    <col min="5384" max="5384" width="10.625" style="3" customWidth="1"/>
    <col min="5385" max="5385" width="10" style="3" customWidth="1"/>
    <col min="5386" max="5386" width="9.875" style="3" customWidth="1"/>
    <col min="5387" max="5387" width="10.875" style="3" customWidth="1"/>
    <col min="5388" max="5388" width="10.5" style="3" customWidth="1"/>
    <col min="5389" max="5389" width="11" style="3" customWidth="1"/>
    <col min="5390" max="5390" width="9" style="3"/>
    <col min="5391" max="5391" width="10.625" style="3" customWidth="1"/>
    <col min="5392" max="5392" width="9" style="3"/>
    <col min="5393" max="5393" width="19.5" style="3" customWidth="1"/>
    <col min="5394" max="5394" width="16.75" style="3" customWidth="1"/>
    <col min="5395" max="5395" width="16.5" style="3" customWidth="1"/>
    <col min="5396" max="5632" width="9" style="3"/>
    <col min="5633" max="5633" width="1.875" style="3" customWidth="1"/>
    <col min="5634" max="5634" width="10" style="3" customWidth="1"/>
    <col min="5635" max="5635" width="9.875" style="3" customWidth="1"/>
    <col min="5636" max="5636" width="10.875" style="3" customWidth="1"/>
    <col min="5637" max="5637" width="10.5" style="3" customWidth="1"/>
    <col min="5638" max="5638" width="11" style="3" customWidth="1"/>
    <col min="5639" max="5639" width="9" style="3"/>
    <col min="5640" max="5640" width="10.625" style="3" customWidth="1"/>
    <col min="5641" max="5641" width="10" style="3" customWidth="1"/>
    <col min="5642" max="5642" width="9.875" style="3" customWidth="1"/>
    <col min="5643" max="5643" width="10.875" style="3" customWidth="1"/>
    <col min="5644" max="5644" width="10.5" style="3" customWidth="1"/>
    <col min="5645" max="5645" width="11" style="3" customWidth="1"/>
    <col min="5646" max="5646" width="9" style="3"/>
    <col min="5647" max="5647" width="10.625" style="3" customWidth="1"/>
    <col min="5648" max="5648" width="9" style="3"/>
    <col min="5649" max="5649" width="19.5" style="3" customWidth="1"/>
    <col min="5650" max="5650" width="16.75" style="3" customWidth="1"/>
    <col min="5651" max="5651" width="16.5" style="3" customWidth="1"/>
    <col min="5652" max="5888" width="9" style="3"/>
    <col min="5889" max="5889" width="1.875" style="3" customWidth="1"/>
    <col min="5890" max="5890" width="10" style="3" customWidth="1"/>
    <col min="5891" max="5891" width="9.875" style="3" customWidth="1"/>
    <col min="5892" max="5892" width="10.875" style="3" customWidth="1"/>
    <col min="5893" max="5893" width="10.5" style="3" customWidth="1"/>
    <col min="5894" max="5894" width="11" style="3" customWidth="1"/>
    <col min="5895" max="5895" width="9" style="3"/>
    <col min="5896" max="5896" width="10.625" style="3" customWidth="1"/>
    <col min="5897" max="5897" width="10" style="3" customWidth="1"/>
    <col min="5898" max="5898" width="9.875" style="3" customWidth="1"/>
    <col min="5899" max="5899" width="10.875" style="3" customWidth="1"/>
    <col min="5900" max="5900" width="10.5" style="3" customWidth="1"/>
    <col min="5901" max="5901" width="11" style="3" customWidth="1"/>
    <col min="5902" max="5902" width="9" style="3"/>
    <col min="5903" max="5903" width="10.625" style="3" customWidth="1"/>
    <col min="5904" max="5904" width="9" style="3"/>
    <col min="5905" max="5905" width="19.5" style="3" customWidth="1"/>
    <col min="5906" max="5906" width="16.75" style="3" customWidth="1"/>
    <col min="5907" max="5907" width="16.5" style="3" customWidth="1"/>
    <col min="5908" max="6144" width="9" style="3"/>
    <col min="6145" max="6145" width="1.875" style="3" customWidth="1"/>
    <col min="6146" max="6146" width="10" style="3" customWidth="1"/>
    <col min="6147" max="6147" width="9.875" style="3" customWidth="1"/>
    <col min="6148" max="6148" width="10.875" style="3" customWidth="1"/>
    <col min="6149" max="6149" width="10.5" style="3" customWidth="1"/>
    <col min="6150" max="6150" width="11" style="3" customWidth="1"/>
    <col min="6151" max="6151" width="9" style="3"/>
    <col min="6152" max="6152" width="10.625" style="3" customWidth="1"/>
    <col min="6153" max="6153" width="10" style="3" customWidth="1"/>
    <col min="6154" max="6154" width="9.875" style="3" customWidth="1"/>
    <col min="6155" max="6155" width="10.875" style="3" customWidth="1"/>
    <col min="6156" max="6156" width="10.5" style="3" customWidth="1"/>
    <col min="6157" max="6157" width="11" style="3" customWidth="1"/>
    <col min="6158" max="6158" width="9" style="3"/>
    <col min="6159" max="6159" width="10.625" style="3" customWidth="1"/>
    <col min="6160" max="6160" width="9" style="3"/>
    <col min="6161" max="6161" width="19.5" style="3" customWidth="1"/>
    <col min="6162" max="6162" width="16.75" style="3" customWidth="1"/>
    <col min="6163" max="6163" width="16.5" style="3" customWidth="1"/>
    <col min="6164" max="6400" width="9" style="3"/>
    <col min="6401" max="6401" width="1.875" style="3" customWidth="1"/>
    <col min="6402" max="6402" width="10" style="3" customWidth="1"/>
    <col min="6403" max="6403" width="9.875" style="3" customWidth="1"/>
    <col min="6404" max="6404" width="10.875" style="3" customWidth="1"/>
    <col min="6405" max="6405" width="10.5" style="3" customWidth="1"/>
    <col min="6406" max="6406" width="11" style="3" customWidth="1"/>
    <col min="6407" max="6407" width="9" style="3"/>
    <col min="6408" max="6408" width="10.625" style="3" customWidth="1"/>
    <col min="6409" max="6409" width="10" style="3" customWidth="1"/>
    <col min="6410" max="6410" width="9.875" style="3" customWidth="1"/>
    <col min="6411" max="6411" width="10.875" style="3" customWidth="1"/>
    <col min="6412" max="6412" width="10.5" style="3" customWidth="1"/>
    <col min="6413" max="6413" width="11" style="3" customWidth="1"/>
    <col min="6414" max="6414" width="9" style="3"/>
    <col min="6415" max="6415" width="10.625" style="3" customWidth="1"/>
    <col min="6416" max="6416" width="9" style="3"/>
    <col min="6417" max="6417" width="19.5" style="3" customWidth="1"/>
    <col min="6418" max="6418" width="16.75" style="3" customWidth="1"/>
    <col min="6419" max="6419" width="16.5" style="3" customWidth="1"/>
    <col min="6420" max="6656" width="9" style="3"/>
    <col min="6657" max="6657" width="1.875" style="3" customWidth="1"/>
    <col min="6658" max="6658" width="10" style="3" customWidth="1"/>
    <col min="6659" max="6659" width="9.875" style="3" customWidth="1"/>
    <col min="6660" max="6660" width="10.875" style="3" customWidth="1"/>
    <col min="6661" max="6661" width="10.5" style="3" customWidth="1"/>
    <col min="6662" max="6662" width="11" style="3" customWidth="1"/>
    <col min="6663" max="6663" width="9" style="3"/>
    <col min="6664" max="6664" width="10.625" style="3" customWidth="1"/>
    <col min="6665" max="6665" width="10" style="3" customWidth="1"/>
    <col min="6666" max="6666" width="9.875" style="3" customWidth="1"/>
    <col min="6667" max="6667" width="10.875" style="3" customWidth="1"/>
    <col min="6668" max="6668" width="10.5" style="3" customWidth="1"/>
    <col min="6669" max="6669" width="11" style="3" customWidth="1"/>
    <col min="6670" max="6670" width="9" style="3"/>
    <col min="6671" max="6671" width="10.625" style="3" customWidth="1"/>
    <col min="6672" max="6672" width="9" style="3"/>
    <col min="6673" max="6673" width="19.5" style="3" customWidth="1"/>
    <col min="6674" max="6674" width="16.75" style="3" customWidth="1"/>
    <col min="6675" max="6675" width="16.5" style="3" customWidth="1"/>
    <col min="6676" max="6912" width="9" style="3"/>
    <col min="6913" max="6913" width="1.875" style="3" customWidth="1"/>
    <col min="6914" max="6914" width="10" style="3" customWidth="1"/>
    <col min="6915" max="6915" width="9.875" style="3" customWidth="1"/>
    <col min="6916" max="6916" width="10.875" style="3" customWidth="1"/>
    <col min="6917" max="6917" width="10.5" style="3" customWidth="1"/>
    <col min="6918" max="6918" width="11" style="3" customWidth="1"/>
    <col min="6919" max="6919" width="9" style="3"/>
    <col min="6920" max="6920" width="10.625" style="3" customWidth="1"/>
    <col min="6921" max="6921" width="10" style="3" customWidth="1"/>
    <col min="6922" max="6922" width="9.875" style="3" customWidth="1"/>
    <col min="6923" max="6923" width="10.875" style="3" customWidth="1"/>
    <col min="6924" max="6924" width="10.5" style="3" customWidth="1"/>
    <col min="6925" max="6925" width="11" style="3" customWidth="1"/>
    <col min="6926" max="6926" width="9" style="3"/>
    <col min="6927" max="6927" width="10.625" style="3" customWidth="1"/>
    <col min="6928" max="6928" width="9" style="3"/>
    <col min="6929" max="6929" width="19.5" style="3" customWidth="1"/>
    <col min="6930" max="6930" width="16.75" style="3" customWidth="1"/>
    <col min="6931" max="6931" width="16.5" style="3" customWidth="1"/>
    <col min="6932" max="7168" width="9" style="3"/>
    <col min="7169" max="7169" width="1.875" style="3" customWidth="1"/>
    <col min="7170" max="7170" width="10" style="3" customWidth="1"/>
    <col min="7171" max="7171" width="9.875" style="3" customWidth="1"/>
    <col min="7172" max="7172" width="10.875" style="3" customWidth="1"/>
    <col min="7173" max="7173" width="10.5" style="3" customWidth="1"/>
    <col min="7174" max="7174" width="11" style="3" customWidth="1"/>
    <col min="7175" max="7175" width="9" style="3"/>
    <col min="7176" max="7176" width="10.625" style="3" customWidth="1"/>
    <col min="7177" max="7177" width="10" style="3" customWidth="1"/>
    <col min="7178" max="7178" width="9.875" style="3" customWidth="1"/>
    <col min="7179" max="7179" width="10.875" style="3" customWidth="1"/>
    <col min="7180" max="7180" width="10.5" style="3" customWidth="1"/>
    <col min="7181" max="7181" width="11" style="3" customWidth="1"/>
    <col min="7182" max="7182" width="9" style="3"/>
    <col min="7183" max="7183" width="10.625" style="3" customWidth="1"/>
    <col min="7184" max="7184" width="9" style="3"/>
    <col min="7185" max="7185" width="19.5" style="3" customWidth="1"/>
    <col min="7186" max="7186" width="16.75" style="3" customWidth="1"/>
    <col min="7187" max="7187" width="16.5" style="3" customWidth="1"/>
    <col min="7188" max="7424" width="9" style="3"/>
    <col min="7425" max="7425" width="1.875" style="3" customWidth="1"/>
    <col min="7426" max="7426" width="10" style="3" customWidth="1"/>
    <col min="7427" max="7427" width="9.875" style="3" customWidth="1"/>
    <col min="7428" max="7428" width="10.875" style="3" customWidth="1"/>
    <col min="7429" max="7429" width="10.5" style="3" customWidth="1"/>
    <col min="7430" max="7430" width="11" style="3" customWidth="1"/>
    <col min="7431" max="7431" width="9" style="3"/>
    <col min="7432" max="7432" width="10.625" style="3" customWidth="1"/>
    <col min="7433" max="7433" width="10" style="3" customWidth="1"/>
    <col min="7434" max="7434" width="9.875" style="3" customWidth="1"/>
    <col min="7435" max="7435" width="10.875" style="3" customWidth="1"/>
    <col min="7436" max="7436" width="10.5" style="3" customWidth="1"/>
    <col min="7437" max="7437" width="11" style="3" customWidth="1"/>
    <col min="7438" max="7438" width="9" style="3"/>
    <col min="7439" max="7439" width="10.625" style="3" customWidth="1"/>
    <col min="7440" max="7440" width="9" style="3"/>
    <col min="7441" max="7441" width="19.5" style="3" customWidth="1"/>
    <col min="7442" max="7442" width="16.75" style="3" customWidth="1"/>
    <col min="7443" max="7443" width="16.5" style="3" customWidth="1"/>
    <col min="7444" max="7680" width="9" style="3"/>
    <col min="7681" max="7681" width="1.875" style="3" customWidth="1"/>
    <col min="7682" max="7682" width="10" style="3" customWidth="1"/>
    <col min="7683" max="7683" width="9.875" style="3" customWidth="1"/>
    <col min="7684" max="7684" width="10.875" style="3" customWidth="1"/>
    <col min="7685" max="7685" width="10.5" style="3" customWidth="1"/>
    <col min="7686" max="7686" width="11" style="3" customWidth="1"/>
    <col min="7687" max="7687" width="9" style="3"/>
    <col min="7688" max="7688" width="10.625" style="3" customWidth="1"/>
    <col min="7689" max="7689" width="10" style="3" customWidth="1"/>
    <col min="7690" max="7690" width="9.875" style="3" customWidth="1"/>
    <col min="7691" max="7691" width="10.875" style="3" customWidth="1"/>
    <col min="7692" max="7692" width="10.5" style="3" customWidth="1"/>
    <col min="7693" max="7693" width="11" style="3" customWidth="1"/>
    <col min="7694" max="7694" width="9" style="3"/>
    <col min="7695" max="7695" width="10.625" style="3" customWidth="1"/>
    <col min="7696" max="7696" width="9" style="3"/>
    <col min="7697" max="7697" width="19.5" style="3" customWidth="1"/>
    <col min="7698" max="7698" width="16.75" style="3" customWidth="1"/>
    <col min="7699" max="7699" width="16.5" style="3" customWidth="1"/>
    <col min="7700" max="7936" width="9" style="3"/>
    <col min="7937" max="7937" width="1.875" style="3" customWidth="1"/>
    <col min="7938" max="7938" width="10" style="3" customWidth="1"/>
    <col min="7939" max="7939" width="9.875" style="3" customWidth="1"/>
    <col min="7940" max="7940" width="10.875" style="3" customWidth="1"/>
    <col min="7941" max="7941" width="10.5" style="3" customWidth="1"/>
    <col min="7942" max="7942" width="11" style="3" customWidth="1"/>
    <col min="7943" max="7943" width="9" style="3"/>
    <col min="7944" max="7944" width="10.625" style="3" customWidth="1"/>
    <col min="7945" max="7945" width="10" style="3" customWidth="1"/>
    <col min="7946" max="7946" width="9.875" style="3" customWidth="1"/>
    <col min="7947" max="7947" width="10.875" style="3" customWidth="1"/>
    <col min="7948" max="7948" width="10.5" style="3" customWidth="1"/>
    <col min="7949" max="7949" width="11" style="3" customWidth="1"/>
    <col min="7950" max="7950" width="9" style="3"/>
    <col min="7951" max="7951" width="10.625" style="3" customWidth="1"/>
    <col min="7952" max="7952" width="9" style="3"/>
    <col min="7953" max="7953" width="19.5" style="3" customWidth="1"/>
    <col min="7954" max="7954" width="16.75" style="3" customWidth="1"/>
    <col min="7955" max="7955" width="16.5" style="3" customWidth="1"/>
    <col min="7956" max="8192" width="9" style="3"/>
    <col min="8193" max="8193" width="1.875" style="3" customWidth="1"/>
    <col min="8194" max="8194" width="10" style="3" customWidth="1"/>
    <col min="8195" max="8195" width="9.875" style="3" customWidth="1"/>
    <col min="8196" max="8196" width="10.875" style="3" customWidth="1"/>
    <col min="8197" max="8197" width="10.5" style="3" customWidth="1"/>
    <col min="8198" max="8198" width="11" style="3" customWidth="1"/>
    <col min="8199" max="8199" width="9" style="3"/>
    <col min="8200" max="8200" width="10.625" style="3" customWidth="1"/>
    <col min="8201" max="8201" width="10" style="3" customWidth="1"/>
    <col min="8202" max="8202" width="9.875" style="3" customWidth="1"/>
    <col min="8203" max="8203" width="10.875" style="3" customWidth="1"/>
    <col min="8204" max="8204" width="10.5" style="3" customWidth="1"/>
    <col min="8205" max="8205" width="11" style="3" customWidth="1"/>
    <col min="8206" max="8206" width="9" style="3"/>
    <col min="8207" max="8207" width="10.625" style="3" customWidth="1"/>
    <col min="8208" max="8208" width="9" style="3"/>
    <col min="8209" max="8209" width="19.5" style="3" customWidth="1"/>
    <col min="8210" max="8210" width="16.75" style="3" customWidth="1"/>
    <col min="8211" max="8211" width="16.5" style="3" customWidth="1"/>
    <col min="8212" max="8448" width="9" style="3"/>
    <col min="8449" max="8449" width="1.875" style="3" customWidth="1"/>
    <col min="8450" max="8450" width="10" style="3" customWidth="1"/>
    <col min="8451" max="8451" width="9.875" style="3" customWidth="1"/>
    <col min="8452" max="8452" width="10.875" style="3" customWidth="1"/>
    <col min="8453" max="8453" width="10.5" style="3" customWidth="1"/>
    <col min="8454" max="8454" width="11" style="3" customWidth="1"/>
    <col min="8455" max="8455" width="9" style="3"/>
    <col min="8456" max="8456" width="10.625" style="3" customWidth="1"/>
    <col min="8457" max="8457" width="10" style="3" customWidth="1"/>
    <col min="8458" max="8458" width="9.875" style="3" customWidth="1"/>
    <col min="8459" max="8459" width="10.875" style="3" customWidth="1"/>
    <col min="8460" max="8460" width="10.5" style="3" customWidth="1"/>
    <col min="8461" max="8461" width="11" style="3" customWidth="1"/>
    <col min="8462" max="8462" width="9" style="3"/>
    <col min="8463" max="8463" width="10.625" style="3" customWidth="1"/>
    <col min="8464" max="8464" width="9" style="3"/>
    <col min="8465" max="8465" width="19.5" style="3" customWidth="1"/>
    <col min="8466" max="8466" width="16.75" style="3" customWidth="1"/>
    <col min="8467" max="8467" width="16.5" style="3" customWidth="1"/>
    <col min="8468" max="8704" width="9" style="3"/>
    <col min="8705" max="8705" width="1.875" style="3" customWidth="1"/>
    <col min="8706" max="8706" width="10" style="3" customWidth="1"/>
    <col min="8707" max="8707" width="9.875" style="3" customWidth="1"/>
    <col min="8708" max="8708" width="10.875" style="3" customWidth="1"/>
    <col min="8709" max="8709" width="10.5" style="3" customWidth="1"/>
    <col min="8710" max="8710" width="11" style="3" customWidth="1"/>
    <col min="8711" max="8711" width="9" style="3"/>
    <col min="8712" max="8712" width="10.625" style="3" customWidth="1"/>
    <col min="8713" max="8713" width="10" style="3" customWidth="1"/>
    <col min="8714" max="8714" width="9.875" style="3" customWidth="1"/>
    <col min="8715" max="8715" width="10.875" style="3" customWidth="1"/>
    <col min="8716" max="8716" width="10.5" style="3" customWidth="1"/>
    <col min="8717" max="8717" width="11" style="3" customWidth="1"/>
    <col min="8718" max="8718" width="9" style="3"/>
    <col min="8719" max="8719" width="10.625" style="3" customWidth="1"/>
    <col min="8720" max="8720" width="9" style="3"/>
    <col min="8721" max="8721" width="19.5" style="3" customWidth="1"/>
    <col min="8722" max="8722" width="16.75" style="3" customWidth="1"/>
    <col min="8723" max="8723" width="16.5" style="3" customWidth="1"/>
    <col min="8724" max="8960" width="9" style="3"/>
    <col min="8961" max="8961" width="1.875" style="3" customWidth="1"/>
    <col min="8962" max="8962" width="10" style="3" customWidth="1"/>
    <col min="8963" max="8963" width="9.875" style="3" customWidth="1"/>
    <col min="8964" max="8964" width="10.875" style="3" customWidth="1"/>
    <col min="8965" max="8965" width="10.5" style="3" customWidth="1"/>
    <col min="8966" max="8966" width="11" style="3" customWidth="1"/>
    <col min="8967" max="8967" width="9" style="3"/>
    <col min="8968" max="8968" width="10.625" style="3" customWidth="1"/>
    <col min="8969" max="8969" width="10" style="3" customWidth="1"/>
    <col min="8970" max="8970" width="9.875" style="3" customWidth="1"/>
    <col min="8971" max="8971" width="10.875" style="3" customWidth="1"/>
    <col min="8972" max="8972" width="10.5" style="3" customWidth="1"/>
    <col min="8973" max="8973" width="11" style="3" customWidth="1"/>
    <col min="8974" max="8974" width="9" style="3"/>
    <col min="8975" max="8975" width="10.625" style="3" customWidth="1"/>
    <col min="8976" max="8976" width="9" style="3"/>
    <col min="8977" max="8977" width="19.5" style="3" customWidth="1"/>
    <col min="8978" max="8978" width="16.75" style="3" customWidth="1"/>
    <col min="8979" max="8979" width="16.5" style="3" customWidth="1"/>
    <col min="8980" max="9216" width="9" style="3"/>
    <col min="9217" max="9217" width="1.875" style="3" customWidth="1"/>
    <col min="9218" max="9218" width="10" style="3" customWidth="1"/>
    <col min="9219" max="9219" width="9.875" style="3" customWidth="1"/>
    <col min="9220" max="9220" width="10.875" style="3" customWidth="1"/>
    <col min="9221" max="9221" width="10.5" style="3" customWidth="1"/>
    <col min="9222" max="9222" width="11" style="3" customWidth="1"/>
    <col min="9223" max="9223" width="9" style="3"/>
    <col min="9224" max="9224" width="10.625" style="3" customWidth="1"/>
    <col min="9225" max="9225" width="10" style="3" customWidth="1"/>
    <col min="9226" max="9226" width="9.875" style="3" customWidth="1"/>
    <col min="9227" max="9227" width="10.875" style="3" customWidth="1"/>
    <col min="9228" max="9228" width="10.5" style="3" customWidth="1"/>
    <col min="9229" max="9229" width="11" style="3" customWidth="1"/>
    <col min="9230" max="9230" width="9" style="3"/>
    <col min="9231" max="9231" width="10.625" style="3" customWidth="1"/>
    <col min="9232" max="9232" width="9" style="3"/>
    <col min="9233" max="9233" width="19.5" style="3" customWidth="1"/>
    <col min="9234" max="9234" width="16.75" style="3" customWidth="1"/>
    <col min="9235" max="9235" width="16.5" style="3" customWidth="1"/>
    <col min="9236" max="9472" width="9" style="3"/>
    <col min="9473" max="9473" width="1.875" style="3" customWidth="1"/>
    <col min="9474" max="9474" width="10" style="3" customWidth="1"/>
    <col min="9475" max="9475" width="9.875" style="3" customWidth="1"/>
    <col min="9476" max="9476" width="10.875" style="3" customWidth="1"/>
    <col min="9477" max="9477" width="10.5" style="3" customWidth="1"/>
    <col min="9478" max="9478" width="11" style="3" customWidth="1"/>
    <col min="9479" max="9479" width="9" style="3"/>
    <col min="9480" max="9480" width="10.625" style="3" customWidth="1"/>
    <col min="9481" max="9481" width="10" style="3" customWidth="1"/>
    <col min="9482" max="9482" width="9.875" style="3" customWidth="1"/>
    <col min="9483" max="9483" width="10.875" style="3" customWidth="1"/>
    <col min="9484" max="9484" width="10.5" style="3" customWidth="1"/>
    <col min="9485" max="9485" width="11" style="3" customWidth="1"/>
    <col min="9486" max="9486" width="9" style="3"/>
    <col min="9487" max="9487" width="10.625" style="3" customWidth="1"/>
    <col min="9488" max="9488" width="9" style="3"/>
    <col min="9489" max="9489" width="19.5" style="3" customWidth="1"/>
    <col min="9490" max="9490" width="16.75" style="3" customWidth="1"/>
    <col min="9491" max="9491" width="16.5" style="3" customWidth="1"/>
    <col min="9492" max="9728" width="9" style="3"/>
    <col min="9729" max="9729" width="1.875" style="3" customWidth="1"/>
    <col min="9730" max="9730" width="10" style="3" customWidth="1"/>
    <col min="9731" max="9731" width="9.875" style="3" customWidth="1"/>
    <col min="9732" max="9732" width="10.875" style="3" customWidth="1"/>
    <col min="9733" max="9733" width="10.5" style="3" customWidth="1"/>
    <col min="9734" max="9734" width="11" style="3" customWidth="1"/>
    <col min="9735" max="9735" width="9" style="3"/>
    <col min="9736" max="9736" width="10.625" style="3" customWidth="1"/>
    <col min="9737" max="9737" width="10" style="3" customWidth="1"/>
    <col min="9738" max="9738" width="9.875" style="3" customWidth="1"/>
    <col min="9739" max="9739" width="10.875" style="3" customWidth="1"/>
    <col min="9740" max="9740" width="10.5" style="3" customWidth="1"/>
    <col min="9741" max="9741" width="11" style="3" customWidth="1"/>
    <col min="9742" max="9742" width="9" style="3"/>
    <col min="9743" max="9743" width="10.625" style="3" customWidth="1"/>
    <col min="9744" max="9744" width="9" style="3"/>
    <col min="9745" max="9745" width="19.5" style="3" customWidth="1"/>
    <col min="9746" max="9746" width="16.75" style="3" customWidth="1"/>
    <col min="9747" max="9747" width="16.5" style="3" customWidth="1"/>
    <col min="9748" max="9984" width="9" style="3"/>
    <col min="9985" max="9985" width="1.875" style="3" customWidth="1"/>
    <col min="9986" max="9986" width="10" style="3" customWidth="1"/>
    <col min="9987" max="9987" width="9.875" style="3" customWidth="1"/>
    <col min="9988" max="9988" width="10.875" style="3" customWidth="1"/>
    <col min="9989" max="9989" width="10.5" style="3" customWidth="1"/>
    <col min="9990" max="9990" width="11" style="3" customWidth="1"/>
    <col min="9991" max="9991" width="9" style="3"/>
    <col min="9992" max="9992" width="10.625" style="3" customWidth="1"/>
    <col min="9993" max="9993" width="10" style="3" customWidth="1"/>
    <col min="9994" max="9994" width="9.875" style="3" customWidth="1"/>
    <col min="9995" max="9995" width="10.875" style="3" customWidth="1"/>
    <col min="9996" max="9996" width="10.5" style="3" customWidth="1"/>
    <col min="9997" max="9997" width="11" style="3" customWidth="1"/>
    <col min="9998" max="9998" width="9" style="3"/>
    <col min="9999" max="9999" width="10.625" style="3" customWidth="1"/>
    <col min="10000" max="10000" width="9" style="3"/>
    <col min="10001" max="10001" width="19.5" style="3" customWidth="1"/>
    <col min="10002" max="10002" width="16.75" style="3" customWidth="1"/>
    <col min="10003" max="10003" width="16.5" style="3" customWidth="1"/>
    <col min="10004" max="10240" width="9" style="3"/>
    <col min="10241" max="10241" width="1.875" style="3" customWidth="1"/>
    <col min="10242" max="10242" width="10" style="3" customWidth="1"/>
    <col min="10243" max="10243" width="9.875" style="3" customWidth="1"/>
    <col min="10244" max="10244" width="10.875" style="3" customWidth="1"/>
    <col min="10245" max="10245" width="10.5" style="3" customWidth="1"/>
    <col min="10246" max="10246" width="11" style="3" customWidth="1"/>
    <col min="10247" max="10247" width="9" style="3"/>
    <col min="10248" max="10248" width="10.625" style="3" customWidth="1"/>
    <col min="10249" max="10249" width="10" style="3" customWidth="1"/>
    <col min="10250" max="10250" width="9.875" style="3" customWidth="1"/>
    <col min="10251" max="10251" width="10.875" style="3" customWidth="1"/>
    <col min="10252" max="10252" width="10.5" style="3" customWidth="1"/>
    <col min="10253" max="10253" width="11" style="3" customWidth="1"/>
    <col min="10254" max="10254" width="9" style="3"/>
    <col min="10255" max="10255" width="10.625" style="3" customWidth="1"/>
    <col min="10256" max="10256" width="9" style="3"/>
    <col min="10257" max="10257" width="19.5" style="3" customWidth="1"/>
    <col min="10258" max="10258" width="16.75" style="3" customWidth="1"/>
    <col min="10259" max="10259" width="16.5" style="3" customWidth="1"/>
    <col min="10260" max="10496" width="9" style="3"/>
    <col min="10497" max="10497" width="1.875" style="3" customWidth="1"/>
    <col min="10498" max="10498" width="10" style="3" customWidth="1"/>
    <col min="10499" max="10499" width="9.875" style="3" customWidth="1"/>
    <col min="10500" max="10500" width="10.875" style="3" customWidth="1"/>
    <col min="10501" max="10501" width="10.5" style="3" customWidth="1"/>
    <col min="10502" max="10502" width="11" style="3" customWidth="1"/>
    <col min="10503" max="10503" width="9" style="3"/>
    <col min="10504" max="10504" width="10.625" style="3" customWidth="1"/>
    <col min="10505" max="10505" width="10" style="3" customWidth="1"/>
    <col min="10506" max="10506" width="9.875" style="3" customWidth="1"/>
    <col min="10507" max="10507" width="10.875" style="3" customWidth="1"/>
    <col min="10508" max="10508" width="10.5" style="3" customWidth="1"/>
    <col min="10509" max="10509" width="11" style="3" customWidth="1"/>
    <col min="10510" max="10510" width="9" style="3"/>
    <col min="10511" max="10511" width="10.625" style="3" customWidth="1"/>
    <col min="10512" max="10512" width="9" style="3"/>
    <col min="10513" max="10513" width="19.5" style="3" customWidth="1"/>
    <col min="10514" max="10514" width="16.75" style="3" customWidth="1"/>
    <col min="10515" max="10515" width="16.5" style="3" customWidth="1"/>
    <col min="10516" max="10752" width="9" style="3"/>
    <col min="10753" max="10753" width="1.875" style="3" customWidth="1"/>
    <col min="10754" max="10754" width="10" style="3" customWidth="1"/>
    <col min="10755" max="10755" width="9.875" style="3" customWidth="1"/>
    <col min="10756" max="10756" width="10.875" style="3" customWidth="1"/>
    <col min="10757" max="10757" width="10.5" style="3" customWidth="1"/>
    <col min="10758" max="10758" width="11" style="3" customWidth="1"/>
    <col min="10759" max="10759" width="9" style="3"/>
    <col min="10760" max="10760" width="10.625" style="3" customWidth="1"/>
    <col min="10761" max="10761" width="10" style="3" customWidth="1"/>
    <col min="10762" max="10762" width="9.875" style="3" customWidth="1"/>
    <col min="10763" max="10763" width="10.875" style="3" customWidth="1"/>
    <col min="10764" max="10764" width="10.5" style="3" customWidth="1"/>
    <col min="10765" max="10765" width="11" style="3" customWidth="1"/>
    <col min="10766" max="10766" width="9" style="3"/>
    <col min="10767" max="10767" width="10.625" style="3" customWidth="1"/>
    <col min="10768" max="10768" width="9" style="3"/>
    <col min="10769" max="10769" width="19.5" style="3" customWidth="1"/>
    <col min="10770" max="10770" width="16.75" style="3" customWidth="1"/>
    <col min="10771" max="10771" width="16.5" style="3" customWidth="1"/>
    <col min="10772" max="11008" width="9" style="3"/>
    <col min="11009" max="11009" width="1.875" style="3" customWidth="1"/>
    <col min="11010" max="11010" width="10" style="3" customWidth="1"/>
    <col min="11011" max="11011" width="9.875" style="3" customWidth="1"/>
    <col min="11012" max="11012" width="10.875" style="3" customWidth="1"/>
    <col min="11013" max="11013" width="10.5" style="3" customWidth="1"/>
    <col min="11014" max="11014" width="11" style="3" customWidth="1"/>
    <col min="11015" max="11015" width="9" style="3"/>
    <col min="11016" max="11016" width="10.625" style="3" customWidth="1"/>
    <col min="11017" max="11017" width="10" style="3" customWidth="1"/>
    <col min="11018" max="11018" width="9.875" style="3" customWidth="1"/>
    <col min="11019" max="11019" width="10.875" style="3" customWidth="1"/>
    <col min="11020" max="11020" width="10.5" style="3" customWidth="1"/>
    <col min="11021" max="11021" width="11" style="3" customWidth="1"/>
    <col min="11022" max="11022" width="9" style="3"/>
    <col min="11023" max="11023" width="10.625" style="3" customWidth="1"/>
    <col min="11024" max="11024" width="9" style="3"/>
    <col min="11025" max="11025" width="19.5" style="3" customWidth="1"/>
    <col min="11026" max="11026" width="16.75" style="3" customWidth="1"/>
    <col min="11027" max="11027" width="16.5" style="3" customWidth="1"/>
    <col min="11028" max="11264" width="9" style="3"/>
    <col min="11265" max="11265" width="1.875" style="3" customWidth="1"/>
    <col min="11266" max="11266" width="10" style="3" customWidth="1"/>
    <col min="11267" max="11267" width="9.875" style="3" customWidth="1"/>
    <col min="11268" max="11268" width="10.875" style="3" customWidth="1"/>
    <col min="11269" max="11269" width="10.5" style="3" customWidth="1"/>
    <col min="11270" max="11270" width="11" style="3" customWidth="1"/>
    <col min="11271" max="11271" width="9" style="3"/>
    <col min="11272" max="11272" width="10.625" style="3" customWidth="1"/>
    <col min="11273" max="11273" width="10" style="3" customWidth="1"/>
    <col min="11274" max="11274" width="9.875" style="3" customWidth="1"/>
    <col min="11275" max="11275" width="10.875" style="3" customWidth="1"/>
    <col min="11276" max="11276" width="10.5" style="3" customWidth="1"/>
    <col min="11277" max="11277" width="11" style="3" customWidth="1"/>
    <col min="11278" max="11278" width="9" style="3"/>
    <col min="11279" max="11279" width="10.625" style="3" customWidth="1"/>
    <col min="11280" max="11280" width="9" style="3"/>
    <col min="11281" max="11281" width="19.5" style="3" customWidth="1"/>
    <col min="11282" max="11282" width="16.75" style="3" customWidth="1"/>
    <col min="11283" max="11283" width="16.5" style="3" customWidth="1"/>
    <col min="11284" max="11520" width="9" style="3"/>
    <col min="11521" max="11521" width="1.875" style="3" customWidth="1"/>
    <col min="11522" max="11522" width="10" style="3" customWidth="1"/>
    <col min="11523" max="11523" width="9.875" style="3" customWidth="1"/>
    <col min="11524" max="11524" width="10.875" style="3" customWidth="1"/>
    <col min="11525" max="11525" width="10.5" style="3" customWidth="1"/>
    <col min="11526" max="11526" width="11" style="3" customWidth="1"/>
    <col min="11527" max="11527" width="9" style="3"/>
    <col min="11528" max="11528" width="10.625" style="3" customWidth="1"/>
    <col min="11529" max="11529" width="10" style="3" customWidth="1"/>
    <col min="11530" max="11530" width="9.875" style="3" customWidth="1"/>
    <col min="11531" max="11531" width="10.875" style="3" customWidth="1"/>
    <col min="11532" max="11532" width="10.5" style="3" customWidth="1"/>
    <col min="11533" max="11533" width="11" style="3" customWidth="1"/>
    <col min="11534" max="11534" width="9" style="3"/>
    <col min="11535" max="11535" width="10.625" style="3" customWidth="1"/>
    <col min="11536" max="11536" width="9" style="3"/>
    <col min="11537" max="11537" width="19.5" style="3" customWidth="1"/>
    <col min="11538" max="11538" width="16.75" style="3" customWidth="1"/>
    <col min="11539" max="11539" width="16.5" style="3" customWidth="1"/>
    <col min="11540" max="11776" width="9" style="3"/>
    <col min="11777" max="11777" width="1.875" style="3" customWidth="1"/>
    <col min="11778" max="11778" width="10" style="3" customWidth="1"/>
    <col min="11779" max="11779" width="9.875" style="3" customWidth="1"/>
    <col min="11780" max="11780" width="10.875" style="3" customWidth="1"/>
    <col min="11781" max="11781" width="10.5" style="3" customWidth="1"/>
    <col min="11782" max="11782" width="11" style="3" customWidth="1"/>
    <col min="11783" max="11783" width="9" style="3"/>
    <col min="11784" max="11784" width="10.625" style="3" customWidth="1"/>
    <col min="11785" max="11785" width="10" style="3" customWidth="1"/>
    <col min="11786" max="11786" width="9.875" style="3" customWidth="1"/>
    <col min="11787" max="11787" width="10.875" style="3" customWidth="1"/>
    <col min="11788" max="11788" width="10.5" style="3" customWidth="1"/>
    <col min="11789" max="11789" width="11" style="3" customWidth="1"/>
    <col min="11790" max="11790" width="9" style="3"/>
    <col min="11791" max="11791" width="10.625" style="3" customWidth="1"/>
    <col min="11792" max="11792" width="9" style="3"/>
    <col min="11793" max="11793" width="19.5" style="3" customWidth="1"/>
    <col min="11794" max="11794" width="16.75" style="3" customWidth="1"/>
    <col min="11795" max="11795" width="16.5" style="3" customWidth="1"/>
    <col min="11796" max="12032" width="9" style="3"/>
    <col min="12033" max="12033" width="1.875" style="3" customWidth="1"/>
    <col min="12034" max="12034" width="10" style="3" customWidth="1"/>
    <col min="12035" max="12035" width="9.875" style="3" customWidth="1"/>
    <col min="12036" max="12036" width="10.875" style="3" customWidth="1"/>
    <col min="12037" max="12037" width="10.5" style="3" customWidth="1"/>
    <col min="12038" max="12038" width="11" style="3" customWidth="1"/>
    <col min="12039" max="12039" width="9" style="3"/>
    <col min="12040" max="12040" width="10.625" style="3" customWidth="1"/>
    <col min="12041" max="12041" width="10" style="3" customWidth="1"/>
    <col min="12042" max="12042" width="9.875" style="3" customWidth="1"/>
    <col min="12043" max="12043" width="10.875" style="3" customWidth="1"/>
    <col min="12044" max="12044" width="10.5" style="3" customWidth="1"/>
    <col min="12045" max="12045" width="11" style="3" customWidth="1"/>
    <col min="12046" max="12046" width="9" style="3"/>
    <col min="12047" max="12047" width="10.625" style="3" customWidth="1"/>
    <col min="12048" max="12048" width="9" style="3"/>
    <col min="12049" max="12049" width="19.5" style="3" customWidth="1"/>
    <col min="12050" max="12050" width="16.75" style="3" customWidth="1"/>
    <col min="12051" max="12051" width="16.5" style="3" customWidth="1"/>
    <col min="12052" max="12288" width="9" style="3"/>
    <col min="12289" max="12289" width="1.875" style="3" customWidth="1"/>
    <col min="12290" max="12290" width="10" style="3" customWidth="1"/>
    <col min="12291" max="12291" width="9.875" style="3" customWidth="1"/>
    <col min="12292" max="12292" width="10.875" style="3" customWidth="1"/>
    <col min="12293" max="12293" width="10.5" style="3" customWidth="1"/>
    <col min="12294" max="12294" width="11" style="3" customWidth="1"/>
    <col min="12295" max="12295" width="9" style="3"/>
    <col min="12296" max="12296" width="10.625" style="3" customWidth="1"/>
    <col min="12297" max="12297" width="10" style="3" customWidth="1"/>
    <col min="12298" max="12298" width="9.875" style="3" customWidth="1"/>
    <col min="12299" max="12299" width="10.875" style="3" customWidth="1"/>
    <col min="12300" max="12300" width="10.5" style="3" customWidth="1"/>
    <col min="12301" max="12301" width="11" style="3" customWidth="1"/>
    <col min="12302" max="12302" width="9" style="3"/>
    <col min="12303" max="12303" width="10.625" style="3" customWidth="1"/>
    <col min="12304" max="12304" width="9" style="3"/>
    <col min="12305" max="12305" width="19.5" style="3" customWidth="1"/>
    <col min="12306" max="12306" width="16.75" style="3" customWidth="1"/>
    <col min="12307" max="12307" width="16.5" style="3" customWidth="1"/>
    <col min="12308" max="12544" width="9" style="3"/>
    <col min="12545" max="12545" width="1.875" style="3" customWidth="1"/>
    <col min="12546" max="12546" width="10" style="3" customWidth="1"/>
    <col min="12547" max="12547" width="9.875" style="3" customWidth="1"/>
    <col min="12548" max="12548" width="10.875" style="3" customWidth="1"/>
    <col min="12549" max="12549" width="10.5" style="3" customWidth="1"/>
    <col min="12550" max="12550" width="11" style="3" customWidth="1"/>
    <col min="12551" max="12551" width="9" style="3"/>
    <col min="12552" max="12552" width="10.625" style="3" customWidth="1"/>
    <col min="12553" max="12553" width="10" style="3" customWidth="1"/>
    <col min="12554" max="12554" width="9.875" style="3" customWidth="1"/>
    <col min="12555" max="12555" width="10.875" style="3" customWidth="1"/>
    <col min="12556" max="12556" width="10.5" style="3" customWidth="1"/>
    <col min="12557" max="12557" width="11" style="3" customWidth="1"/>
    <col min="12558" max="12558" width="9" style="3"/>
    <col min="12559" max="12559" width="10.625" style="3" customWidth="1"/>
    <col min="12560" max="12560" width="9" style="3"/>
    <col min="12561" max="12561" width="19.5" style="3" customWidth="1"/>
    <col min="12562" max="12562" width="16.75" style="3" customWidth="1"/>
    <col min="12563" max="12563" width="16.5" style="3" customWidth="1"/>
    <col min="12564" max="12800" width="9" style="3"/>
    <col min="12801" max="12801" width="1.875" style="3" customWidth="1"/>
    <col min="12802" max="12802" width="10" style="3" customWidth="1"/>
    <col min="12803" max="12803" width="9.875" style="3" customWidth="1"/>
    <col min="12804" max="12804" width="10.875" style="3" customWidth="1"/>
    <col min="12805" max="12805" width="10.5" style="3" customWidth="1"/>
    <col min="12806" max="12806" width="11" style="3" customWidth="1"/>
    <col min="12807" max="12807" width="9" style="3"/>
    <col min="12808" max="12808" width="10.625" style="3" customWidth="1"/>
    <col min="12809" max="12809" width="10" style="3" customWidth="1"/>
    <col min="12810" max="12810" width="9.875" style="3" customWidth="1"/>
    <col min="12811" max="12811" width="10.875" style="3" customWidth="1"/>
    <col min="12812" max="12812" width="10.5" style="3" customWidth="1"/>
    <col min="12813" max="12813" width="11" style="3" customWidth="1"/>
    <col min="12814" max="12814" width="9" style="3"/>
    <col min="12815" max="12815" width="10.625" style="3" customWidth="1"/>
    <col min="12816" max="12816" width="9" style="3"/>
    <col min="12817" max="12817" width="19.5" style="3" customWidth="1"/>
    <col min="12818" max="12818" width="16.75" style="3" customWidth="1"/>
    <col min="12819" max="12819" width="16.5" style="3" customWidth="1"/>
    <col min="12820" max="13056" width="9" style="3"/>
    <col min="13057" max="13057" width="1.875" style="3" customWidth="1"/>
    <col min="13058" max="13058" width="10" style="3" customWidth="1"/>
    <col min="13059" max="13059" width="9.875" style="3" customWidth="1"/>
    <col min="13060" max="13060" width="10.875" style="3" customWidth="1"/>
    <col min="13061" max="13061" width="10.5" style="3" customWidth="1"/>
    <col min="13062" max="13062" width="11" style="3" customWidth="1"/>
    <col min="13063" max="13063" width="9" style="3"/>
    <col min="13064" max="13064" width="10.625" style="3" customWidth="1"/>
    <col min="13065" max="13065" width="10" style="3" customWidth="1"/>
    <col min="13066" max="13066" width="9.875" style="3" customWidth="1"/>
    <col min="13067" max="13067" width="10.875" style="3" customWidth="1"/>
    <col min="13068" max="13068" width="10.5" style="3" customWidth="1"/>
    <col min="13069" max="13069" width="11" style="3" customWidth="1"/>
    <col min="13070" max="13070" width="9" style="3"/>
    <col min="13071" max="13071" width="10.625" style="3" customWidth="1"/>
    <col min="13072" max="13072" width="9" style="3"/>
    <col min="13073" max="13073" width="19.5" style="3" customWidth="1"/>
    <col min="13074" max="13074" width="16.75" style="3" customWidth="1"/>
    <col min="13075" max="13075" width="16.5" style="3" customWidth="1"/>
    <col min="13076" max="13312" width="9" style="3"/>
    <col min="13313" max="13313" width="1.875" style="3" customWidth="1"/>
    <col min="13314" max="13314" width="10" style="3" customWidth="1"/>
    <col min="13315" max="13315" width="9.875" style="3" customWidth="1"/>
    <col min="13316" max="13316" width="10.875" style="3" customWidth="1"/>
    <col min="13317" max="13317" width="10.5" style="3" customWidth="1"/>
    <col min="13318" max="13318" width="11" style="3" customWidth="1"/>
    <col min="13319" max="13319" width="9" style="3"/>
    <col min="13320" max="13320" width="10.625" style="3" customWidth="1"/>
    <col min="13321" max="13321" width="10" style="3" customWidth="1"/>
    <col min="13322" max="13322" width="9.875" style="3" customWidth="1"/>
    <col min="13323" max="13323" width="10.875" style="3" customWidth="1"/>
    <col min="13324" max="13324" width="10.5" style="3" customWidth="1"/>
    <col min="13325" max="13325" width="11" style="3" customWidth="1"/>
    <col min="13326" max="13326" width="9" style="3"/>
    <col min="13327" max="13327" width="10.625" style="3" customWidth="1"/>
    <col min="13328" max="13328" width="9" style="3"/>
    <col min="13329" max="13329" width="19.5" style="3" customWidth="1"/>
    <col min="13330" max="13330" width="16.75" style="3" customWidth="1"/>
    <col min="13331" max="13331" width="16.5" style="3" customWidth="1"/>
    <col min="13332" max="13568" width="9" style="3"/>
    <col min="13569" max="13569" width="1.875" style="3" customWidth="1"/>
    <col min="13570" max="13570" width="10" style="3" customWidth="1"/>
    <col min="13571" max="13571" width="9.875" style="3" customWidth="1"/>
    <col min="13572" max="13572" width="10.875" style="3" customWidth="1"/>
    <col min="13573" max="13573" width="10.5" style="3" customWidth="1"/>
    <col min="13574" max="13574" width="11" style="3" customWidth="1"/>
    <col min="13575" max="13575" width="9" style="3"/>
    <col min="13576" max="13576" width="10.625" style="3" customWidth="1"/>
    <col min="13577" max="13577" width="10" style="3" customWidth="1"/>
    <col min="13578" max="13578" width="9.875" style="3" customWidth="1"/>
    <col min="13579" max="13579" width="10.875" style="3" customWidth="1"/>
    <col min="13580" max="13580" width="10.5" style="3" customWidth="1"/>
    <col min="13581" max="13581" width="11" style="3" customWidth="1"/>
    <col min="13582" max="13582" width="9" style="3"/>
    <col min="13583" max="13583" width="10.625" style="3" customWidth="1"/>
    <col min="13584" max="13584" width="9" style="3"/>
    <col min="13585" max="13585" width="19.5" style="3" customWidth="1"/>
    <col min="13586" max="13586" width="16.75" style="3" customWidth="1"/>
    <col min="13587" max="13587" width="16.5" style="3" customWidth="1"/>
    <col min="13588" max="13824" width="9" style="3"/>
    <col min="13825" max="13825" width="1.875" style="3" customWidth="1"/>
    <col min="13826" max="13826" width="10" style="3" customWidth="1"/>
    <col min="13827" max="13827" width="9.875" style="3" customWidth="1"/>
    <col min="13828" max="13828" width="10.875" style="3" customWidth="1"/>
    <col min="13829" max="13829" width="10.5" style="3" customWidth="1"/>
    <col min="13830" max="13830" width="11" style="3" customWidth="1"/>
    <col min="13831" max="13831" width="9" style="3"/>
    <col min="13832" max="13832" width="10.625" style="3" customWidth="1"/>
    <col min="13833" max="13833" width="10" style="3" customWidth="1"/>
    <col min="13834" max="13834" width="9.875" style="3" customWidth="1"/>
    <col min="13835" max="13835" width="10.875" style="3" customWidth="1"/>
    <col min="13836" max="13836" width="10.5" style="3" customWidth="1"/>
    <col min="13837" max="13837" width="11" style="3" customWidth="1"/>
    <col min="13838" max="13838" width="9" style="3"/>
    <col min="13839" max="13839" width="10.625" style="3" customWidth="1"/>
    <col min="13840" max="13840" width="9" style="3"/>
    <col min="13841" max="13841" width="19.5" style="3" customWidth="1"/>
    <col min="13842" max="13842" width="16.75" style="3" customWidth="1"/>
    <col min="13843" max="13843" width="16.5" style="3" customWidth="1"/>
    <col min="13844" max="14080" width="9" style="3"/>
    <col min="14081" max="14081" width="1.875" style="3" customWidth="1"/>
    <col min="14082" max="14082" width="10" style="3" customWidth="1"/>
    <col min="14083" max="14083" width="9.875" style="3" customWidth="1"/>
    <col min="14084" max="14084" width="10.875" style="3" customWidth="1"/>
    <col min="14085" max="14085" width="10.5" style="3" customWidth="1"/>
    <col min="14086" max="14086" width="11" style="3" customWidth="1"/>
    <col min="14087" max="14087" width="9" style="3"/>
    <col min="14088" max="14088" width="10.625" style="3" customWidth="1"/>
    <col min="14089" max="14089" width="10" style="3" customWidth="1"/>
    <col min="14090" max="14090" width="9.875" style="3" customWidth="1"/>
    <col min="14091" max="14091" width="10.875" style="3" customWidth="1"/>
    <col min="14092" max="14092" width="10.5" style="3" customWidth="1"/>
    <col min="14093" max="14093" width="11" style="3" customWidth="1"/>
    <col min="14094" max="14094" width="9" style="3"/>
    <col min="14095" max="14095" width="10.625" style="3" customWidth="1"/>
    <col min="14096" max="14096" width="9" style="3"/>
    <col min="14097" max="14097" width="19.5" style="3" customWidth="1"/>
    <col min="14098" max="14098" width="16.75" style="3" customWidth="1"/>
    <col min="14099" max="14099" width="16.5" style="3" customWidth="1"/>
    <col min="14100" max="14336" width="9" style="3"/>
    <col min="14337" max="14337" width="1.875" style="3" customWidth="1"/>
    <col min="14338" max="14338" width="10" style="3" customWidth="1"/>
    <col min="14339" max="14339" width="9.875" style="3" customWidth="1"/>
    <col min="14340" max="14340" width="10.875" style="3" customWidth="1"/>
    <col min="14341" max="14341" width="10.5" style="3" customWidth="1"/>
    <col min="14342" max="14342" width="11" style="3" customWidth="1"/>
    <col min="14343" max="14343" width="9" style="3"/>
    <col min="14344" max="14344" width="10.625" style="3" customWidth="1"/>
    <col min="14345" max="14345" width="10" style="3" customWidth="1"/>
    <col min="14346" max="14346" width="9.875" style="3" customWidth="1"/>
    <col min="14347" max="14347" width="10.875" style="3" customWidth="1"/>
    <col min="14348" max="14348" width="10.5" style="3" customWidth="1"/>
    <col min="14349" max="14349" width="11" style="3" customWidth="1"/>
    <col min="14350" max="14350" width="9" style="3"/>
    <col min="14351" max="14351" width="10.625" style="3" customWidth="1"/>
    <col min="14352" max="14352" width="9" style="3"/>
    <col min="14353" max="14353" width="19.5" style="3" customWidth="1"/>
    <col min="14354" max="14354" width="16.75" style="3" customWidth="1"/>
    <col min="14355" max="14355" width="16.5" style="3" customWidth="1"/>
    <col min="14356" max="14592" width="9" style="3"/>
    <col min="14593" max="14593" width="1.875" style="3" customWidth="1"/>
    <col min="14594" max="14594" width="10" style="3" customWidth="1"/>
    <col min="14595" max="14595" width="9.875" style="3" customWidth="1"/>
    <col min="14596" max="14596" width="10.875" style="3" customWidth="1"/>
    <col min="14597" max="14597" width="10.5" style="3" customWidth="1"/>
    <col min="14598" max="14598" width="11" style="3" customWidth="1"/>
    <col min="14599" max="14599" width="9" style="3"/>
    <col min="14600" max="14600" width="10.625" style="3" customWidth="1"/>
    <col min="14601" max="14601" width="10" style="3" customWidth="1"/>
    <col min="14602" max="14602" width="9.875" style="3" customWidth="1"/>
    <col min="14603" max="14603" width="10.875" style="3" customWidth="1"/>
    <col min="14604" max="14604" width="10.5" style="3" customWidth="1"/>
    <col min="14605" max="14605" width="11" style="3" customWidth="1"/>
    <col min="14606" max="14606" width="9" style="3"/>
    <col min="14607" max="14607" width="10.625" style="3" customWidth="1"/>
    <col min="14608" max="14608" width="9" style="3"/>
    <col min="14609" max="14609" width="19.5" style="3" customWidth="1"/>
    <col min="14610" max="14610" width="16.75" style="3" customWidth="1"/>
    <col min="14611" max="14611" width="16.5" style="3" customWidth="1"/>
    <col min="14612" max="14848" width="9" style="3"/>
    <col min="14849" max="14849" width="1.875" style="3" customWidth="1"/>
    <col min="14850" max="14850" width="10" style="3" customWidth="1"/>
    <col min="14851" max="14851" width="9.875" style="3" customWidth="1"/>
    <col min="14852" max="14852" width="10.875" style="3" customWidth="1"/>
    <col min="14853" max="14853" width="10.5" style="3" customWidth="1"/>
    <col min="14854" max="14854" width="11" style="3" customWidth="1"/>
    <col min="14855" max="14855" width="9" style="3"/>
    <col min="14856" max="14856" width="10.625" style="3" customWidth="1"/>
    <col min="14857" max="14857" width="10" style="3" customWidth="1"/>
    <col min="14858" max="14858" width="9.875" style="3" customWidth="1"/>
    <col min="14859" max="14859" width="10.875" style="3" customWidth="1"/>
    <col min="14860" max="14860" width="10.5" style="3" customWidth="1"/>
    <col min="14861" max="14861" width="11" style="3" customWidth="1"/>
    <col min="14862" max="14862" width="9" style="3"/>
    <col min="14863" max="14863" width="10.625" style="3" customWidth="1"/>
    <col min="14864" max="14864" width="9" style="3"/>
    <col min="14865" max="14865" width="19.5" style="3" customWidth="1"/>
    <col min="14866" max="14866" width="16.75" style="3" customWidth="1"/>
    <col min="14867" max="14867" width="16.5" style="3" customWidth="1"/>
    <col min="14868" max="15104" width="9" style="3"/>
    <col min="15105" max="15105" width="1.875" style="3" customWidth="1"/>
    <col min="15106" max="15106" width="10" style="3" customWidth="1"/>
    <col min="15107" max="15107" width="9.875" style="3" customWidth="1"/>
    <col min="15108" max="15108" width="10.875" style="3" customWidth="1"/>
    <col min="15109" max="15109" width="10.5" style="3" customWidth="1"/>
    <col min="15110" max="15110" width="11" style="3" customWidth="1"/>
    <col min="15111" max="15111" width="9" style="3"/>
    <col min="15112" max="15112" width="10.625" style="3" customWidth="1"/>
    <col min="15113" max="15113" width="10" style="3" customWidth="1"/>
    <col min="15114" max="15114" width="9.875" style="3" customWidth="1"/>
    <col min="15115" max="15115" width="10.875" style="3" customWidth="1"/>
    <col min="15116" max="15116" width="10.5" style="3" customWidth="1"/>
    <col min="15117" max="15117" width="11" style="3" customWidth="1"/>
    <col min="15118" max="15118" width="9" style="3"/>
    <col min="15119" max="15119" width="10.625" style="3" customWidth="1"/>
    <col min="15120" max="15120" width="9" style="3"/>
    <col min="15121" max="15121" width="19.5" style="3" customWidth="1"/>
    <col min="15122" max="15122" width="16.75" style="3" customWidth="1"/>
    <col min="15123" max="15123" width="16.5" style="3" customWidth="1"/>
    <col min="15124" max="15360" width="9" style="3"/>
    <col min="15361" max="15361" width="1.875" style="3" customWidth="1"/>
    <col min="15362" max="15362" width="10" style="3" customWidth="1"/>
    <col min="15363" max="15363" width="9.875" style="3" customWidth="1"/>
    <col min="15364" max="15364" width="10.875" style="3" customWidth="1"/>
    <col min="15365" max="15365" width="10.5" style="3" customWidth="1"/>
    <col min="15366" max="15366" width="11" style="3" customWidth="1"/>
    <col min="15367" max="15367" width="9" style="3"/>
    <col min="15368" max="15368" width="10.625" style="3" customWidth="1"/>
    <col min="15369" max="15369" width="10" style="3" customWidth="1"/>
    <col min="15370" max="15370" width="9.875" style="3" customWidth="1"/>
    <col min="15371" max="15371" width="10.875" style="3" customWidth="1"/>
    <col min="15372" max="15372" width="10.5" style="3" customWidth="1"/>
    <col min="15373" max="15373" width="11" style="3" customWidth="1"/>
    <col min="15374" max="15374" width="9" style="3"/>
    <col min="15375" max="15375" width="10.625" style="3" customWidth="1"/>
    <col min="15376" max="15376" width="9" style="3"/>
    <col min="15377" max="15377" width="19.5" style="3" customWidth="1"/>
    <col min="15378" max="15378" width="16.75" style="3" customWidth="1"/>
    <col min="15379" max="15379" width="16.5" style="3" customWidth="1"/>
    <col min="15380" max="15616" width="9" style="3"/>
    <col min="15617" max="15617" width="1.875" style="3" customWidth="1"/>
    <col min="15618" max="15618" width="10" style="3" customWidth="1"/>
    <col min="15619" max="15619" width="9.875" style="3" customWidth="1"/>
    <col min="15620" max="15620" width="10.875" style="3" customWidth="1"/>
    <col min="15621" max="15621" width="10.5" style="3" customWidth="1"/>
    <col min="15622" max="15622" width="11" style="3" customWidth="1"/>
    <col min="15623" max="15623" width="9" style="3"/>
    <col min="15624" max="15624" width="10.625" style="3" customWidth="1"/>
    <col min="15625" max="15625" width="10" style="3" customWidth="1"/>
    <col min="15626" max="15626" width="9.875" style="3" customWidth="1"/>
    <col min="15627" max="15627" width="10.875" style="3" customWidth="1"/>
    <col min="15628" max="15628" width="10.5" style="3" customWidth="1"/>
    <col min="15629" max="15629" width="11" style="3" customWidth="1"/>
    <col min="15630" max="15630" width="9" style="3"/>
    <col min="15631" max="15631" width="10.625" style="3" customWidth="1"/>
    <col min="15632" max="15632" width="9" style="3"/>
    <col min="15633" max="15633" width="19.5" style="3" customWidth="1"/>
    <col min="15634" max="15634" width="16.75" style="3" customWidth="1"/>
    <col min="15635" max="15635" width="16.5" style="3" customWidth="1"/>
    <col min="15636" max="15872" width="9" style="3"/>
    <col min="15873" max="15873" width="1.875" style="3" customWidth="1"/>
    <col min="15874" max="15874" width="10" style="3" customWidth="1"/>
    <col min="15875" max="15875" width="9.875" style="3" customWidth="1"/>
    <col min="15876" max="15876" width="10.875" style="3" customWidth="1"/>
    <col min="15877" max="15877" width="10.5" style="3" customWidth="1"/>
    <col min="15878" max="15878" width="11" style="3" customWidth="1"/>
    <col min="15879" max="15879" width="9" style="3"/>
    <col min="15880" max="15880" width="10.625" style="3" customWidth="1"/>
    <col min="15881" max="15881" width="10" style="3" customWidth="1"/>
    <col min="15882" max="15882" width="9.875" style="3" customWidth="1"/>
    <col min="15883" max="15883" width="10.875" style="3" customWidth="1"/>
    <col min="15884" max="15884" width="10.5" style="3" customWidth="1"/>
    <col min="15885" max="15885" width="11" style="3" customWidth="1"/>
    <col min="15886" max="15886" width="9" style="3"/>
    <col min="15887" max="15887" width="10.625" style="3" customWidth="1"/>
    <col min="15888" max="15888" width="9" style="3"/>
    <col min="15889" max="15889" width="19.5" style="3" customWidth="1"/>
    <col min="15890" max="15890" width="16.75" style="3" customWidth="1"/>
    <col min="15891" max="15891" width="16.5" style="3" customWidth="1"/>
    <col min="15892" max="16128" width="9" style="3"/>
    <col min="16129" max="16129" width="1.875" style="3" customWidth="1"/>
    <col min="16130" max="16130" width="10" style="3" customWidth="1"/>
    <col min="16131" max="16131" width="9.875" style="3" customWidth="1"/>
    <col min="16132" max="16132" width="10.875" style="3" customWidth="1"/>
    <col min="16133" max="16133" width="10.5" style="3" customWidth="1"/>
    <col min="16134" max="16134" width="11" style="3" customWidth="1"/>
    <col min="16135" max="16135" width="9" style="3"/>
    <col min="16136" max="16136" width="10.625" style="3" customWidth="1"/>
    <col min="16137" max="16137" width="10" style="3" customWidth="1"/>
    <col min="16138" max="16138" width="9.875" style="3" customWidth="1"/>
    <col min="16139" max="16139" width="10.875" style="3" customWidth="1"/>
    <col min="16140" max="16140" width="10.5" style="3" customWidth="1"/>
    <col min="16141" max="16141" width="11" style="3" customWidth="1"/>
    <col min="16142" max="16142" width="9" style="3"/>
    <col min="16143" max="16143" width="10.625" style="3" customWidth="1"/>
    <col min="16144" max="16144" width="9" style="3"/>
    <col min="16145" max="16145" width="19.5" style="3" customWidth="1"/>
    <col min="16146" max="16146" width="16.75" style="3" customWidth="1"/>
    <col min="16147" max="16147" width="16.5" style="3" customWidth="1"/>
    <col min="16148" max="16384" width="9" style="3"/>
  </cols>
  <sheetData>
    <row r="1" spans="1:18" ht="32.450000000000003" customHeight="1">
      <c r="B1" s="188" t="s">
        <v>0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</row>
    <row r="2" spans="1:18" ht="27" customHeight="1" thickBot="1">
      <c r="L2" s="190" t="s">
        <v>196</v>
      </c>
      <c r="M2" s="190"/>
      <c r="N2" s="190"/>
      <c r="O2" s="190"/>
    </row>
    <row r="3" spans="1:18" s="1" customFormat="1" ht="45.75" customHeight="1" thickTop="1" thickBot="1">
      <c r="B3" s="40" t="s">
        <v>1</v>
      </c>
      <c r="C3" s="11" t="s">
        <v>2</v>
      </c>
      <c r="D3" s="41" t="s">
        <v>3</v>
      </c>
      <c r="E3" s="9" t="s">
        <v>4</v>
      </c>
      <c r="F3" s="41" t="s">
        <v>5</v>
      </c>
      <c r="G3" s="79" t="s">
        <v>6</v>
      </c>
      <c r="H3" s="11" t="s">
        <v>7</v>
      </c>
      <c r="I3" s="40" t="s">
        <v>1</v>
      </c>
      <c r="J3" s="11" t="s">
        <v>2</v>
      </c>
      <c r="K3" s="9" t="s">
        <v>3</v>
      </c>
      <c r="L3" s="9" t="s">
        <v>4</v>
      </c>
      <c r="M3" s="41" t="s">
        <v>5</v>
      </c>
      <c r="N3" s="92" t="s">
        <v>6</v>
      </c>
      <c r="O3" s="93" t="s">
        <v>7</v>
      </c>
      <c r="Q3" s="1" t="s">
        <v>8</v>
      </c>
    </row>
    <row r="4" spans="1:18" ht="34.5" customHeight="1">
      <c r="A4" s="3" t="s">
        <v>8</v>
      </c>
      <c r="B4" s="80" t="s">
        <v>9</v>
      </c>
      <c r="C4" s="81">
        <v>1001</v>
      </c>
      <c r="D4" s="82" t="s">
        <v>10</v>
      </c>
      <c r="E4" s="83">
        <f>1800/30*G4</f>
        <v>1800</v>
      </c>
      <c r="F4" s="84">
        <f t="shared" ref="F4:F25" si="0">E4+300</f>
        <v>2100</v>
      </c>
      <c r="G4" s="85">
        <v>30</v>
      </c>
      <c r="H4" s="86" t="str">
        <f>IF(G4&lt;30,"V"," ")</f>
        <v xml:space="preserve"> </v>
      </c>
      <c r="I4" s="94" t="s">
        <v>11</v>
      </c>
      <c r="J4" s="95">
        <v>2003</v>
      </c>
      <c r="K4" s="96" t="s">
        <v>12</v>
      </c>
      <c r="L4" s="15">
        <f t="shared" ref="L4:L13" si="1">1800/30*N4</f>
        <v>1800</v>
      </c>
      <c r="M4" s="97">
        <f t="shared" ref="M4:M13" si="2">L4+300</f>
        <v>2100</v>
      </c>
      <c r="N4" s="98">
        <v>30</v>
      </c>
      <c r="O4" s="99" t="str">
        <f t="shared" ref="O4:O16" si="3">IF(N4&lt;30,"V"," ")</f>
        <v xml:space="preserve"> </v>
      </c>
    </row>
    <row r="5" spans="1:18" ht="35.1" customHeight="1">
      <c r="B5" s="19" t="s">
        <v>13</v>
      </c>
      <c r="C5" s="20">
        <v>1010</v>
      </c>
      <c r="D5" s="87" t="s">
        <v>14</v>
      </c>
      <c r="E5" s="51">
        <f t="shared" ref="E5:E34" si="4">1800/30*G5</f>
        <v>1800</v>
      </c>
      <c r="F5" s="88">
        <f t="shared" si="0"/>
        <v>2100</v>
      </c>
      <c r="G5" s="17">
        <v>30</v>
      </c>
      <c r="H5" s="18" t="str">
        <f t="shared" ref="H5:H36" si="5">IF(G5&lt;30,"V"," ")</f>
        <v xml:space="preserve"> </v>
      </c>
      <c r="I5" s="50" t="s">
        <v>15</v>
      </c>
      <c r="J5" s="100">
        <v>2005</v>
      </c>
      <c r="K5" s="30" t="s">
        <v>17</v>
      </c>
      <c r="L5" s="15">
        <f t="shared" si="1"/>
        <v>1800</v>
      </c>
      <c r="M5" s="22">
        <f t="shared" si="2"/>
        <v>2100</v>
      </c>
      <c r="N5" s="101">
        <v>30</v>
      </c>
      <c r="O5" s="102" t="str">
        <f t="shared" si="3"/>
        <v xml:space="preserve"> </v>
      </c>
    </row>
    <row r="6" spans="1:18" ht="35.1" customHeight="1">
      <c r="B6" s="25" t="s">
        <v>15</v>
      </c>
      <c r="C6" s="20">
        <v>1050</v>
      </c>
      <c r="D6" s="89" t="s">
        <v>16</v>
      </c>
      <c r="E6" s="51">
        <f t="shared" si="4"/>
        <v>1800</v>
      </c>
      <c r="F6" s="90">
        <f t="shared" si="0"/>
        <v>2100</v>
      </c>
      <c r="G6" s="17">
        <v>30</v>
      </c>
      <c r="H6" s="18" t="str">
        <f t="shared" si="5"/>
        <v xml:space="preserve"> </v>
      </c>
      <c r="I6" s="103" t="s">
        <v>15</v>
      </c>
      <c r="J6" s="104">
        <v>2002</v>
      </c>
      <c r="K6" s="105" t="s">
        <v>20</v>
      </c>
      <c r="L6" s="15">
        <f t="shared" si="1"/>
        <v>1800</v>
      </c>
      <c r="M6" s="33">
        <f t="shared" si="2"/>
        <v>2100</v>
      </c>
      <c r="N6" s="101">
        <v>30</v>
      </c>
      <c r="O6" s="102" t="str">
        <f t="shared" si="3"/>
        <v xml:space="preserve"> </v>
      </c>
    </row>
    <row r="7" spans="1:18" ht="35.1" customHeight="1">
      <c r="B7" s="25" t="s">
        <v>15</v>
      </c>
      <c r="C7" s="20" t="s">
        <v>18</v>
      </c>
      <c r="D7" s="89" t="s">
        <v>19</v>
      </c>
      <c r="E7" s="51">
        <f t="shared" si="4"/>
        <v>1800</v>
      </c>
      <c r="F7" s="90">
        <f t="shared" si="0"/>
        <v>2100</v>
      </c>
      <c r="G7" s="17">
        <v>30</v>
      </c>
      <c r="H7" s="18" t="str">
        <f t="shared" si="5"/>
        <v xml:space="preserve"> </v>
      </c>
      <c r="I7" s="91" t="s">
        <v>22</v>
      </c>
      <c r="J7" s="100">
        <v>2008</v>
      </c>
      <c r="K7" s="30" t="s">
        <v>23</v>
      </c>
      <c r="L7" s="15">
        <f t="shared" si="1"/>
        <v>1020</v>
      </c>
      <c r="M7" s="22">
        <f t="shared" si="2"/>
        <v>1320</v>
      </c>
      <c r="N7" s="101">
        <v>17</v>
      </c>
      <c r="O7" s="102" t="str">
        <f t="shared" si="3"/>
        <v>V</v>
      </c>
    </row>
    <row r="8" spans="1:18" ht="35.1" customHeight="1">
      <c r="B8" s="25" t="s">
        <v>15</v>
      </c>
      <c r="C8" s="20">
        <v>1060</v>
      </c>
      <c r="D8" s="89" t="s">
        <v>21</v>
      </c>
      <c r="E8" s="51">
        <f t="shared" si="4"/>
        <v>1800</v>
      </c>
      <c r="F8" s="90">
        <f t="shared" si="0"/>
        <v>2100</v>
      </c>
      <c r="G8" s="17">
        <v>30</v>
      </c>
      <c r="H8" s="18" t="str">
        <f t="shared" si="5"/>
        <v xml:space="preserve"> </v>
      </c>
      <c r="I8" s="50" t="s">
        <v>15</v>
      </c>
      <c r="J8" s="100">
        <v>2011</v>
      </c>
      <c r="K8" s="30" t="s">
        <v>26</v>
      </c>
      <c r="L8" s="15">
        <f t="shared" si="1"/>
        <v>1800</v>
      </c>
      <c r="M8" s="22">
        <f t="shared" si="2"/>
        <v>2100</v>
      </c>
      <c r="N8" s="101">
        <v>30</v>
      </c>
      <c r="O8" s="102" t="str">
        <f t="shared" si="3"/>
        <v xml:space="preserve"> </v>
      </c>
    </row>
    <row r="9" spans="1:18" ht="35.1" customHeight="1">
      <c r="B9" s="19" t="s">
        <v>24</v>
      </c>
      <c r="C9" s="20">
        <v>1003</v>
      </c>
      <c r="D9" s="89" t="s">
        <v>30</v>
      </c>
      <c r="E9" s="51">
        <f t="shared" si="4"/>
        <v>1800</v>
      </c>
      <c r="F9" s="90">
        <f t="shared" si="0"/>
        <v>2100</v>
      </c>
      <c r="G9" s="17">
        <v>30</v>
      </c>
      <c r="H9" s="18" t="str">
        <f t="shared" si="5"/>
        <v xml:space="preserve"> </v>
      </c>
      <c r="I9" s="50" t="s">
        <v>15</v>
      </c>
      <c r="J9" s="106" t="s">
        <v>28</v>
      </c>
      <c r="K9" s="30" t="s">
        <v>29</v>
      </c>
      <c r="L9" s="15">
        <f t="shared" si="1"/>
        <v>1020</v>
      </c>
      <c r="M9" s="22">
        <f t="shared" si="2"/>
        <v>1320</v>
      </c>
      <c r="N9" s="101">
        <v>17</v>
      </c>
      <c r="O9" s="102" t="str">
        <f t="shared" si="3"/>
        <v>V</v>
      </c>
      <c r="Q9" s="119"/>
    </row>
    <row r="10" spans="1:18" ht="35.1" customHeight="1">
      <c r="B10" s="25" t="s">
        <v>15</v>
      </c>
      <c r="C10" s="20">
        <v>1073</v>
      </c>
      <c r="D10" s="89" t="s">
        <v>155</v>
      </c>
      <c r="E10" s="51">
        <f t="shared" si="4"/>
        <v>1800</v>
      </c>
      <c r="F10" s="90">
        <f t="shared" si="0"/>
        <v>2100</v>
      </c>
      <c r="G10" s="17">
        <v>30</v>
      </c>
      <c r="H10" s="18" t="str">
        <f t="shared" si="5"/>
        <v xml:space="preserve"> </v>
      </c>
      <c r="I10" s="50" t="s">
        <v>15</v>
      </c>
      <c r="J10" s="106">
        <v>2042</v>
      </c>
      <c r="K10" s="30" t="s">
        <v>31</v>
      </c>
      <c r="L10" s="15">
        <f t="shared" si="1"/>
        <v>1800</v>
      </c>
      <c r="M10" s="22">
        <f t="shared" si="2"/>
        <v>2100</v>
      </c>
      <c r="N10" s="101">
        <v>30</v>
      </c>
      <c r="O10" s="102" t="str">
        <f t="shared" si="3"/>
        <v xml:space="preserve"> </v>
      </c>
      <c r="Q10" s="119"/>
    </row>
    <row r="11" spans="1:18" ht="35.1" customHeight="1">
      <c r="B11" s="25"/>
      <c r="C11" s="20"/>
      <c r="D11" s="89"/>
      <c r="E11" s="51"/>
      <c r="F11" s="90"/>
      <c r="G11" s="17">
        <v>30</v>
      </c>
      <c r="H11" s="18" t="str">
        <f t="shared" si="5"/>
        <v xml:space="preserve"> </v>
      </c>
      <c r="I11" s="91" t="s">
        <v>32</v>
      </c>
      <c r="J11" s="106">
        <v>2039</v>
      </c>
      <c r="K11" s="89" t="s">
        <v>73</v>
      </c>
      <c r="L11" s="51">
        <f t="shared" si="1"/>
        <v>1800</v>
      </c>
      <c r="M11" s="90">
        <f t="shared" si="2"/>
        <v>2100</v>
      </c>
      <c r="N11" s="23">
        <v>30</v>
      </c>
      <c r="O11" s="18" t="str">
        <f t="shared" si="3"/>
        <v xml:space="preserve"> </v>
      </c>
      <c r="Q11" s="119"/>
    </row>
    <row r="12" spans="1:18" ht="35.1" customHeight="1">
      <c r="B12" s="25"/>
      <c r="C12" s="20"/>
      <c r="D12" s="89"/>
      <c r="E12" s="51"/>
      <c r="F12" s="90"/>
      <c r="G12" s="17">
        <v>30</v>
      </c>
      <c r="H12" s="18" t="str">
        <f t="shared" si="5"/>
        <v xml:space="preserve"> </v>
      </c>
      <c r="I12" s="50" t="s">
        <v>15</v>
      </c>
      <c r="J12" s="106">
        <v>2031</v>
      </c>
      <c r="K12" s="30" t="s">
        <v>37</v>
      </c>
      <c r="L12" s="15">
        <f t="shared" si="1"/>
        <v>1020</v>
      </c>
      <c r="M12" s="22">
        <f t="shared" si="2"/>
        <v>1320</v>
      </c>
      <c r="N12" s="101">
        <v>17</v>
      </c>
      <c r="O12" s="102" t="str">
        <f t="shared" si="3"/>
        <v>V</v>
      </c>
      <c r="Q12" s="119"/>
      <c r="R12" s="76"/>
    </row>
    <row r="13" spans="1:18" ht="35.1" customHeight="1">
      <c r="B13" s="25"/>
      <c r="C13" s="20"/>
      <c r="D13" s="30"/>
      <c r="E13" s="15"/>
      <c r="F13" s="22"/>
      <c r="G13" s="101">
        <v>30</v>
      </c>
      <c r="H13" s="102" t="str">
        <f t="shared" si="5"/>
        <v xml:space="preserve"> </v>
      </c>
      <c r="I13" s="50" t="s">
        <v>15</v>
      </c>
      <c r="J13" s="106">
        <v>2047</v>
      </c>
      <c r="K13" s="107" t="s">
        <v>144</v>
      </c>
      <c r="L13" s="15">
        <f t="shared" si="1"/>
        <v>1800</v>
      </c>
      <c r="M13" s="22">
        <f t="shared" si="2"/>
        <v>2100</v>
      </c>
      <c r="N13" s="101">
        <v>30</v>
      </c>
      <c r="O13" s="102" t="str">
        <f t="shared" si="3"/>
        <v xml:space="preserve"> </v>
      </c>
      <c r="Q13" s="120"/>
      <c r="R13" s="134"/>
    </row>
    <row r="14" spans="1:18" ht="34.9" customHeight="1">
      <c r="B14" s="19" t="s">
        <v>34</v>
      </c>
      <c r="C14" s="20">
        <v>1046</v>
      </c>
      <c r="D14" s="89" t="s">
        <v>35</v>
      </c>
      <c r="E14" s="51">
        <f t="shared" si="4"/>
        <v>1800</v>
      </c>
      <c r="F14" s="90">
        <f t="shared" si="0"/>
        <v>2100</v>
      </c>
      <c r="G14" s="17">
        <v>30</v>
      </c>
      <c r="H14" s="18" t="str">
        <f t="shared" si="5"/>
        <v xml:space="preserve"> </v>
      </c>
      <c r="I14" s="50" t="s">
        <v>15</v>
      </c>
      <c r="J14" s="106">
        <v>2018</v>
      </c>
      <c r="K14" s="107" t="s">
        <v>197</v>
      </c>
      <c r="L14" s="15">
        <f t="shared" ref="L14" si="6">1800/30*N14</f>
        <v>1800</v>
      </c>
      <c r="M14" s="22">
        <f t="shared" ref="M14" si="7">L14+300</f>
        <v>2100</v>
      </c>
      <c r="N14" s="101">
        <v>30</v>
      </c>
      <c r="O14" s="102" t="str">
        <f t="shared" ref="O14" si="8">IF(N14&lt;30,"V"," ")</f>
        <v xml:space="preserve"> </v>
      </c>
      <c r="Q14" s="120"/>
      <c r="R14" s="76"/>
    </row>
    <row r="15" spans="1:18" ht="35.1" customHeight="1">
      <c r="B15" s="25" t="s">
        <v>15</v>
      </c>
      <c r="C15" s="20">
        <v>1014</v>
      </c>
      <c r="D15" s="89" t="s">
        <v>36</v>
      </c>
      <c r="E15" s="51">
        <f t="shared" si="4"/>
        <v>1800</v>
      </c>
      <c r="F15" s="90">
        <f t="shared" si="0"/>
        <v>2100</v>
      </c>
      <c r="G15" s="17">
        <v>30</v>
      </c>
      <c r="H15" s="18" t="str">
        <f t="shared" si="5"/>
        <v xml:space="preserve"> </v>
      </c>
      <c r="I15" s="50"/>
      <c r="J15" s="106"/>
      <c r="K15" s="107"/>
      <c r="L15" s="15"/>
      <c r="M15" s="22"/>
      <c r="N15" s="101"/>
      <c r="O15" s="102" t="str">
        <f t="shared" si="3"/>
        <v>V</v>
      </c>
      <c r="Q15" s="120"/>
    </row>
    <row r="16" spans="1:18" ht="35.1" customHeight="1">
      <c r="B16" s="25" t="s">
        <v>15</v>
      </c>
      <c r="C16" s="20">
        <v>1015</v>
      </c>
      <c r="D16" s="89" t="s">
        <v>38</v>
      </c>
      <c r="E16" s="51">
        <f t="shared" si="4"/>
        <v>1800</v>
      </c>
      <c r="F16" s="90">
        <f t="shared" si="0"/>
        <v>2100</v>
      </c>
      <c r="G16" s="17">
        <v>30</v>
      </c>
      <c r="H16" s="18" t="str">
        <f t="shared" si="5"/>
        <v xml:space="preserve"> </v>
      </c>
      <c r="I16" s="50"/>
      <c r="J16" s="106"/>
      <c r="K16" s="107"/>
      <c r="L16" s="22"/>
      <c r="N16" s="101"/>
      <c r="O16" s="102" t="str">
        <f t="shared" si="3"/>
        <v>V</v>
      </c>
      <c r="Q16" s="120"/>
    </row>
    <row r="17" spans="2:19" ht="35.1" customHeight="1">
      <c r="B17" s="25" t="s">
        <v>15</v>
      </c>
      <c r="C17" s="163" t="s">
        <v>174</v>
      </c>
      <c r="D17" s="30" t="s">
        <v>49</v>
      </c>
      <c r="E17" s="109">
        <f>1800/30*G17</f>
        <v>1800</v>
      </c>
      <c r="F17" s="22">
        <f>E17+300</f>
        <v>2100</v>
      </c>
      <c r="G17" s="23">
        <v>30</v>
      </c>
      <c r="H17" s="18" t="str">
        <f>IF(G17&lt;30,"V"," ")</f>
        <v xml:space="preserve"> </v>
      </c>
      <c r="I17" s="50"/>
      <c r="J17" s="106"/>
      <c r="K17" s="107"/>
      <c r="L17" s="28"/>
      <c r="M17" s="22"/>
      <c r="N17" s="101"/>
      <c r="O17" s="102"/>
      <c r="S17" s="66">
        <f>SUMIFS(F4:F37,F4:F37,2100)</f>
        <v>48300</v>
      </c>
    </row>
    <row r="18" spans="2:19" ht="35.1" customHeight="1">
      <c r="B18" s="25" t="s">
        <v>15</v>
      </c>
      <c r="C18" s="20" t="s">
        <v>39</v>
      </c>
      <c r="D18" s="89" t="s">
        <v>40</v>
      </c>
      <c r="E18" s="51">
        <f t="shared" si="4"/>
        <v>1800</v>
      </c>
      <c r="F18" s="90">
        <f t="shared" si="0"/>
        <v>2100</v>
      </c>
      <c r="G18" s="17">
        <v>30</v>
      </c>
      <c r="H18" s="18" t="str">
        <f t="shared" si="5"/>
        <v xml:space="preserve"> </v>
      </c>
      <c r="I18" s="50"/>
      <c r="J18" s="106"/>
      <c r="K18" s="107"/>
      <c r="L18" s="28"/>
      <c r="M18" s="22"/>
      <c r="N18" s="101"/>
      <c r="O18" s="102"/>
      <c r="S18" s="67">
        <f>SUMIFS(M4:M16,M4:M16,2100)</f>
        <v>16800</v>
      </c>
    </row>
    <row r="19" spans="2:19" ht="35.1" customHeight="1">
      <c r="B19" s="25" t="s">
        <v>15</v>
      </c>
      <c r="C19" s="20">
        <v>1059</v>
      </c>
      <c r="D19" s="89" t="s">
        <v>41</v>
      </c>
      <c r="E19" s="51">
        <f t="shared" si="4"/>
        <v>1500</v>
      </c>
      <c r="F19" s="90">
        <f t="shared" si="0"/>
        <v>1800</v>
      </c>
      <c r="G19" s="17">
        <v>25</v>
      </c>
      <c r="H19" s="18" t="str">
        <f t="shared" si="5"/>
        <v>V</v>
      </c>
      <c r="I19" s="198" t="s">
        <v>44</v>
      </c>
      <c r="J19" s="199"/>
      <c r="K19" s="199"/>
      <c r="L19" s="199"/>
      <c r="M19" s="199"/>
      <c r="N19" s="200"/>
      <c r="O19" s="201"/>
      <c r="S19" s="121">
        <f>SUMIFS(M20:M22,M20:M22,2100)</f>
        <v>2100</v>
      </c>
    </row>
    <row r="20" spans="2:19" ht="35.1" customHeight="1" thickBot="1">
      <c r="B20" s="25" t="s">
        <v>15</v>
      </c>
      <c r="C20" s="20" t="s">
        <v>167</v>
      </c>
      <c r="D20" s="89" t="s">
        <v>168</v>
      </c>
      <c r="E20" s="51">
        <f t="shared" si="4"/>
        <v>1800</v>
      </c>
      <c r="F20" s="90">
        <f t="shared" si="0"/>
        <v>2100</v>
      </c>
      <c r="G20" s="17">
        <v>30</v>
      </c>
      <c r="H20" s="18" t="str">
        <f t="shared" si="5"/>
        <v xml:space="preserve"> </v>
      </c>
      <c r="I20" s="91" t="s">
        <v>42</v>
      </c>
      <c r="J20" s="108" t="s">
        <v>46</v>
      </c>
      <c r="K20" s="30" t="s">
        <v>47</v>
      </c>
      <c r="L20" s="109">
        <f>1800/30*N20</f>
        <v>1560</v>
      </c>
      <c r="M20" s="33">
        <f>L20+300</f>
        <v>1860</v>
      </c>
      <c r="N20" s="101">
        <v>26</v>
      </c>
      <c r="O20" s="18" t="str">
        <f>IF(N20&lt;30,"V"," ")</f>
        <v>V</v>
      </c>
      <c r="R20" s="122" t="s">
        <v>45</v>
      </c>
      <c r="S20" s="69">
        <f>SUM(S17:S19)</f>
        <v>67200</v>
      </c>
    </row>
    <row r="21" spans="2:19" ht="35.1" customHeight="1" thickTop="1">
      <c r="B21" s="19" t="s">
        <v>42</v>
      </c>
      <c r="C21" s="20">
        <v>1004</v>
      </c>
      <c r="D21" s="89" t="s">
        <v>43</v>
      </c>
      <c r="E21" s="51">
        <f t="shared" si="4"/>
        <v>1800</v>
      </c>
      <c r="F21" s="90">
        <f t="shared" si="0"/>
        <v>2100</v>
      </c>
      <c r="G21" s="17">
        <v>30</v>
      </c>
      <c r="H21" s="18" t="str">
        <f t="shared" si="5"/>
        <v xml:space="preserve"> </v>
      </c>
      <c r="I21" s="129" t="s">
        <v>157</v>
      </c>
      <c r="J21" s="110" t="s">
        <v>156</v>
      </c>
      <c r="K21" s="89" t="s">
        <v>139</v>
      </c>
      <c r="L21" s="51">
        <f t="shared" ref="L21" si="9">1800/30*N21</f>
        <v>1800</v>
      </c>
      <c r="M21" s="90">
        <f t="shared" ref="M21" si="10">L21+300</f>
        <v>2100</v>
      </c>
      <c r="N21" s="17">
        <v>30</v>
      </c>
      <c r="O21" s="18" t="str">
        <f>IF(N21&lt;30,"V"," ")</f>
        <v xml:space="preserve"> </v>
      </c>
      <c r="S21" s="76" t="s">
        <v>48</v>
      </c>
    </row>
    <row r="22" spans="2:19" ht="35.1" customHeight="1">
      <c r="B22" s="25" t="s">
        <v>15</v>
      </c>
      <c r="C22" s="20">
        <v>1008</v>
      </c>
      <c r="D22" s="89" t="s">
        <v>158</v>
      </c>
      <c r="E22" s="51">
        <f t="shared" si="4"/>
        <v>1800</v>
      </c>
      <c r="F22" s="90">
        <f t="shared" si="0"/>
        <v>2100</v>
      </c>
      <c r="G22" s="17">
        <v>30</v>
      </c>
      <c r="H22" s="18" t="str">
        <f t="shared" si="5"/>
        <v xml:space="preserve"> </v>
      </c>
      <c r="I22" s="129"/>
      <c r="J22" s="110"/>
      <c r="K22" s="89"/>
      <c r="L22" s="51"/>
      <c r="M22" s="90"/>
      <c r="N22" s="17"/>
      <c r="O22" s="18" t="str">
        <f>IF(N22&lt;30,"V"," ")</f>
        <v>V</v>
      </c>
      <c r="S22" s="66">
        <f>SUMIFS(F4:F37,H4:H37,"v")</f>
        <v>5640</v>
      </c>
    </row>
    <row r="23" spans="2:19" ht="35.1" customHeight="1">
      <c r="B23" s="25" t="s">
        <v>15</v>
      </c>
      <c r="C23" s="20">
        <v>2040</v>
      </c>
      <c r="D23" s="89" t="s">
        <v>50</v>
      </c>
      <c r="E23" s="51">
        <f t="shared" si="4"/>
        <v>1800</v>
      </c>
      <c r="F23" s="90">
        <f t="shared" si="0"/>
        <v>2100</v>
      </c>
      <c r="G23" s="17">
        <v>30</v>
      </c>
      <c r="H23" s="18" t="str">
        <f t="shared" si="5"/>
        <v xml:space="preserve"> </v>
      </c>
      <c r="I23" s="202" t="s">
        <v>51</v>
      </c>
      <c r="J23" s="203"/>
      <c r="K23" s="203"/>
      <c r="L23" s="203"/>
      <c r="M23" s="203"/>
      <c r="N23" s="203"/>
      <c r="O23" s="204"/>
      <c r="S23" s="71">
        <f>SUMIFS(M4:M16,O4:O16,"v")</f>
        <v>3960</v>
      </c>
    </row>
    <row r="24" spans="2:19" ht="35.1" customHeight="1">
      <c r="B24" s="25" t="s">
        <v>15</v>
      </c>
      <c r="C24" s="20">
        <v>1041</v>
      </c>
      <c r="D24" s="89" t="s">
        <v>52</v>
      </c>
      <c r="E24" s="51">
        <f t="shared" si="4"/>
        <v>1800</v>
      </c>
      <c r="F24" s="90">
        <f t="shared" si="0"/>
        <v>2100</v>
      </c>
      <c r="G24" s="17">
        <v>30</v>
      </c>
      <c r="H24" s="18" t="str">
        <f t="shared" si="5"/>
        <v xml:space="preserve"> </v>
      </c>
      <c r="I24" s="111" t="s">
        <v>53</v>
      </c>
      <c r="J24" s="112">
        <v>7021</v>
      </c>
      <c r="K24" s="21" t="s">
        <v>55</v>
      </c>
      <c r="L24" s="51">
        <v>1400</v>
      </c>
      <c r="M24" s="22">
        <f t="shared" ref="M24:M29" si="11">L24+300</f>
        <v>1700</v>
      </c>
      <c r="N24" s="23"/>
      <c r="O24" s="113"/>
      <c r="S24" s="123">
        <f>SUMIFS(M20:M21,O20:O21,"v")</f>
        <v>1860</v>
      </c>
    </row>
    <row r="25" spans="2:19" ht="35.1" customHeight="1" thickBot="1">
      <c r="B25" s="25" t="s">
        <v>15</v>
      </c>
      <c r="C25" s="20">
        <v>1069</v>
      </c>
      <c r="D25" s="89" t="s">
        <v>145</v>
      </c>
      <c r="E25" s="51">
        <f t="shared" si="4"/>
        <v>1800</v>
      </c>
      <c r="F25" s="90">
        <f t="shared" si="0"/>
        <v>2100</v>
      </c>
      <c r="G25" s="17">
        <v>30</v>
      </c>
      <c r="H25" s="18" t="str">
        <f t="shared" si="5"/>
        <v xml:space="preserve"> </v>
      </c>
      <c r="I25" s="50" t="s">
        <v>15</v>
      </c>
      <c r="J25" s="112">
        <v>7034</v>
      </c>
      <c r="K25" s="21" t="s">
        <v>140</v>
      </c>
      <c r="L25" s="51">
        <v>1400</v>
      </c>
      <c r="M25" s="22">
        <f>L25+300</f>
        <v>1700</v>
      </c>
      <c r="N25" s="23"/>
      <c r="O25" s="113"/>
      <c r="Q25" s="76"/>
      <c r="R25" s="122" t="s">
        <v>56</v>
      </c>
      <c r="S25" s="73">
        <f>SUM(S22,S23,S24)</f>
        <v>11460</v>
      </c>
    </row>
    <row r="26" spans="2:19" ht="35.1" customHeight="1" thickTop="1">
      <c r="B26" s="25" t="s">
        <v>15</v>
      </c>
      <c r="C26" s="20" t="s">
        <v>162</v>
      </c>
      <c r="D26" s="89" t="s">
        <v>161</v>
      </c>
      <c r="E26" s="51">
        <f>1800/30*G26</f>
        <v>960</v>
      </c>
      <c r="F26" s="90">
        <f>E26+300</f>
        <v>1260</v>
      </c>
      <c r="G26" s="17">
        <v>16</v>
      </c>
      <c r="H26" s="18" t="str">
        <f t="shared" si="5"/>
        <v>V</v>
      </c>
      <c r="I26" s="50" t="s">
        <v>15</v>
      </c>
      <c r="J26" s="112">
        <v>7017</v>
      </c>
      <c r="K26" s="21" t="s">
        <v>70</v>
      </c>
      <c r="L26" s="51">
        <v>1400</v>
      </c>
      <c r="M26" s="22">
        <f t="shared" si="11"/>
        <v>1700</v>
      </c>
      <c r="N26" s="23"/>
      <c r="O26" s="143"/>
    </row>
    <row r="27" spans="2:19" ht="35.1" customHeight="1">
      <c r="B27" s="25"/>
      <c r="C27" s="20"/>
      <c r="D27" s="89"/>
      <c r="E27" s="51"/>
      <c r="F27" s="90"/>
      <c r="G27" s="17"/>
      <c r="H27" s="18" t="str">
        <f t="shared" si="5"/>
        <v>V</v>
      </c>
      <c r="I27" s="114" t="s">
        <v>15</v>
      </c>
      <c r="J27" s="112">
        <v>7019</v>
      </c>
      <c r="K27" s="30" t="s">
        <v>72</v>
      </c>
      <c r="L27" s="51">
        <v>1400</v>
      </c>
      <c r="M27" s="22">
        <f t="shared" si="11"/>
        <v>1700</v>
      </c>
      <c r="N27" s="23"/>
      <c r="O27" s="135"/>
      <c r="Q27" s="124"/>
      <c r="R27" s="124" t="s">
        <v>62</v>
      </c>
      <c r="S27" s="125">
        <f>SUM(M24:M37)</f>
        <v>25840</v>
      </c>
    </row>
    <row r="28" spans="2:19" ht="35.1" customHeight="1" thickBot="1">
      <c r="B28" s="19"/>
      <c r="C28" s="20"/>
      <c r="D28" s="89"/>
      <c r="E28" s="51">
        <f t="shared" si="4"/>
        <v>0</v>
      </c>
      <c r="F28" s="90"/>
      <c r="G28" s="17"/>
      <c r="H28" s="18" t="str">
        <f t="shared" si="5"/>
        <v>V</v>
      </c>
      <c r="I28" s="114" t="s">
        <v>15</v>
      </c>
      <c r="J28" s="112">
        <v>7020</v>
      </c>
      <c r="K28" s="30" t="s">
        <v>74</v>
      </c>
      <c r="L28" s="51">
        <v>1400</v>
      </c>
      <c r="M28" s="22">
        <f t="shared" si="11"/>
        <v>1700</v>
      </c>
      <c r="N28" s="23"/>
      <c r="O28" s="128"/>
      <c r="R28" s="122" t="s">
        <v>64</v>
      </c>
      <c r="S28" s="126">
        <f>SUM(F4:F37,M4:M16,M20:M21,M24:M36)</f>
        <v>102560</v>
      </c>
    </row>
    <row r="29" spans="2:19" ht="35.1" customHeight="1" thickTop="1">
      <c r="B29" s="19" t="s">
        <v>59</v>
      </c>
      <c r="C29" s="20">
        <v>2015</v>
      </c>
      <c r="D29" s="89" t="s">
        <v>60</v>
      </c>
      <c r="E29" s="51">
        <f t="shared" si="4"/>
        <v>960</v>
      </c>
      <c r="F29" s="90">
        <f t="shared" ref="F29:F34" si="12">E29+300</f>
        <v>1260</v>
      </c>
      <c r="G29" s="17">
        <v>16</v>
      </c>
      <c r="H29" s="18" t="str">
        <f t="shared" si="5"/>
        <v>V</v>
      </c>
      <c r="I29" s="114" t="s">
        <v>15</v>
      </c>
      <c r="J29" s="112">
        <v>7036</v>
      </c>
      <c r="K29" s="30" t="s">
        <v>141</v>
      </c>
      <c r="L29" s="51">
        <v>1900</v>
      </c>
      <c r="M29" s="22">
        <f t="shared" si="11"/>
        <v>2200</v>
      </c>
      <c r="N29" s="23"/>
      <c r="O29" s="175" t="s">
        <v>200</v>
      </c>
      <c r="R29" s="5" t="s">
        <v>68</v>
      </c>
      <c r="S29" s="76">
        <f>SUM(S20+S25+S27)</f>
        <v>104500</v>
      </c>
    </row>
    <row r="30" spans="2:19" ht="35.1" customHeight="1">
      <c r="B30" s="19"/>
      <c r="C30" s="20">
        <v>2043</v>
      </c>
      <c r="D30" s="89" t="s">
        <v>63</v>
      </c>
      <c r="E30" s="51">
        <f t="shared" si="4"/>
        <v>1800</v>
      </c>
      <c r="F30" s="90">
        <f t="shared" si="12"/>
        <v>2100</v>
      </c>
      <c r="G30" s="17">
        <v>30</v>
      </c>
      <c r="H30" s="18" t="str">
        <f t="shared" si="5"/>
        <v xml:space="preserve"> </v>
      </c>
      <c r="I30" s="114" t="s">
        <v>15</v>
      </c>
      <c r="J30" s="112" t="s">
        <v>170</v>
      </c>
      <c r="K30" s="141" t="s">
        <v>169</v>
      </c>
      <c r="L30" s="51">
        <v>1400</v>
      </c>
      <c r="M30" s="22">
        <f>L30+300</f>
        <v>1700</v>
      </c>
      <c r="N30" s="23"/>
      <c r="O30" s="113"/>
    </row>
    <row r="31" spans="2:19" ht="35.1" customHeight="1">
      <c r="B31" s="19" t="s">
        <v>65</v>
      </c>
      <c r="C31" s="20">
        <v>2013</v>
      </c>
      <c r="D31" s="89" t="s">
        <v>66</v>
      </c>
      <c r="E31" s="51">
        <f t="shared" si="4"/>
        <v>1020</v>
      </c>
      <c r="F31" s="90">
        <f t="shared" si="12"/>
        <v>1320</v>
      </c>
      <c r="G31" s="17">
        <v>17</v>
      </c>
      <c r="H31" s="18" t="str">
        <f t="shared" si="5"/>
        <v>V</v>
      </c>
      <c r="I31" s="114" t="s">
        <v>15</v>
      </c>
      <c r="J31" s="112" t="s">
        <v>172</v>
      </c>
      <c r="K31" s="141" t="s">
        <v>173</v>
      </c>
      <c r="L31" s="51">
        <v>1400</v>
      </c>
      <c r="M31" s="22">
        <f>L31+300</f>
        <v>1700</v>
      </c>
      <c r="N31" s="23"/>
      <c r="O31" s="113"/>
    </row>
    <row r="32" spans="2:19" ht="35.1" customHeight="1">
      <c r="B32" s="25" t="s">
        <v>15</v>
      </c>
      <c r="C32" s="20">
        <v>2014</v>
      </c>
      <c r="D32" s="89" t="s">
        <v>69</v>
      </c>
      <c r="E32" s="51">
        <f t="shared" si="4"/>
        <v>1800</v>
      </c>
      <c r="F32" s="90">
        <f t="shared" si="12"/>
        <v>2100</v>
      </c>
      <c r="G32" s="17">
        <v>30</v>
      </c>
      <c r="H32" s="18" t="str">
        <f t="shared" si="5"/>
        <v xml:space="preserve"> </v>
      </c>
      <c r="I32" s="50" t="s">
        <v>15</v>
      </c>
      <c r="J32" s="112">
        <v>7006</v>
      </c>
      <c r="K32" s="21" t="s">
        <v>54</v>
      </c>
      <c r="L32" s="51">
        <v>1640</v>
      </c>
      <c r="M32" s="22">
        <f t="shared" ref="M32:M37" si="13">L32+300</f>
        <v>1940</v>
      </c>
      <c r="N32" s="23"/>
      <c r="O32" s="176" t="s">
        <v>201</v>
      </c>
      <c r="P32" s="115"/>
      <c r="R32" s="3" t="s">
        <v>8</v>
      </c>
    </row>
    <row r="33" spans="1:17" ht="35.1" customHeight="1">
      <c r="B33" s="25" t="s">
        <v>15</v>
      </c>
      <c r="C33" s="20">
        <v>2045</v>
      </c>
      <c r="D33" s="89" t="s">
        <v>71</v>
      </c>
      <c r="E33" s="51">
        <f t="shared" si="4"/>
        <v>1800</v>
      </c>
      <c r="F33" s="90">
        <f t="shared" si="12"/>
        <v>2100</v>
      </c>
      <c r="G33" s="23">
        <v>30</v>
      </c>
      <c r="H33" s="18" t="str">
        <f t="shared" si="5"/>
        <v xml:space="preserve"> </v>
      </c>
      <c r="I33" s="50" t="s">
        <v>15</v>
      </c>
      <c r="J33" s="112">
        <v>7016</v>
      </c>
      <c r="K33" s="21" t="s">
        <v>61</v>
      </c>
      <c r="L33" s="51">
        <v>1640</v>
      </c>
      <c r="M33" s="22">
        <f t="shared" si="13"/>
        <v>1940</v>
      </c>
      <c r="N33" s="23"/>
      <c r="O33" s="176" t="s">
        <v>201</v>
      </c>
      <c r="P33" s="116"/>
    </row>
    <row r="34" spans="1:17" ht="35.1" customHeight="1">
      <c r="B34" s="25" t="s">
        <v>15</v>
      </c>
      <c r="C34" s="20">
        <v>1064</v>
      </c>
      <c r="D34" s="89" t="s">
        <v>27</v>
      </c>
      <c r="E34" s="51">
        <f t="shared" si="4"/>
        <v>1800</v>
      </c>
      <c r="F34" s="90">
        <f t="shared" si="12"/>
        <v>2100</v>
      </c>
      <c r="G34" s="23">
        <v>30</v>
      </c>
      <c r="H34" s="18" t="str">
        <f t="shared" si="5"/>
        <v xml:space="preserve"> </v>
      </c>
      <c r="I34" s="114" t="s">
        <v>15</v>
      </c>
      <c r="J34" s="112">
        <v>7012</v>
      </c>
      <c r="K34" s="21" t="s">
        <v>67</v>
      </c>
      <c r="L34" s="51">
        <v>1640</v>
      </c>
      <c r="M34" s="22">
        <f t="shared" si="13"/>
        <v>1940</v>
      </c>
      <c r="N34" s="118"/>
      <c r="O34" s="176" t="s">
        <v>201</v>
      </c>
      <c r="P34" s="117"/>
    </row>
    <row r="35" spans="1:17" ht="35.1" customHeight="1">
      <c r="B35" s="91" t="s">
        <v>57</v>
      </c>
      <c r="C35" s="20">
        <v>2020</v>
      </c>
      <c r="D35" s="89" t="s">
        <v>58</v>
      </c>
      <c r="E35" s="51">
        <f t="shared" ref="E35" si="14">1800/30*G35</f>
        <v>1800</v>
      </c>
      <c r="F35" s="90">
        <f t="shared" ref="F35" si="15">E35+300</f>
        <v>2100</v>
      </c>
      <c r="G35" s="23">
        <v>30</v>
      </c>
      <c r="H35" s="18" t="str">
        <f t="shared" ref="H35" si="16">IF(G35&lt;30,"V"," ")</f>
        <v xml:space="preserve"> </v>
      </c>
      <c r="I35" s="114" t="s">
        <v>15</v>
      </c>
      <c r="J35" s="112">
        <v>7022</v>
      </c>
      <c r="K35" s="30" t="s">
        <v>75</v>
      </c>
      <c r="L35" s="51">
        <v>1640</v>
      </c>
      <c r="M35" s="22">
        <f t="shared" si="13"/>
        <v>1940</v>
      </c>
      <c r="N35" s="118"/>
      <c r="O35" s="176" t="s">
        <v>201</v>
      </c>
    </row>
    <row r="36" spans="1:17" ht="35.1" customHeight="1">
      <c r="B36" s="91"/>
      <c r="C36" s="20"/>
      <c r="D36" s="89"/>
      <c r="E36" s="51"/>
      <c r="F36" s="90"/>
      <c r="G36" s="23"/>
      <c r="H36" s="18" t="str">
        <f t="shared" si="5"/>
        <v>V</v>
      </c>
      <c r="I36" s="151" t="s">
        <v>15</v>
      </c>
      <c r="J36" s="112">
        <v>7027</v>
      </c>
      <c r="K36" s="107" t="s">
        <v>76</v>
      </c>
      <c r="L36" s="51">
        <v>1740</v>
      </c>
      <c r="M36" s="22">
        <f t="shared" si="13"/>
        <v>2040</v>
      </c>
      <c r="N36" s="154"/>
      <c r="O36" s="176" t="s">
        <v>201</v>
      </c>
    </row>
    <row r="37" spans="1:17" ht="35.1" customHeight="1" thickBot="1">
      <c r="B37" s="91"/>
      <c r="C37" s="20"/>
      <c r="D37" s="89"/>
      <c r="E37" s="51"/>
      <c r="F37" s="90"/>
      <c r="G37" s="146"/>
      <c r="H37" s="147"/>
      <c r="I37" s="55" t="s">
        <v>15</v>
      </c>
      <c r="J37" s="152">
        <v>7041</v>
      </c>
      <c r="K37" s="153" t="s">
        <v>146</v>
      </c>
      <c r="L37" s="150">
        <v>1640</v>
      </c>
      <c r="M37" s="33">
        <f t="shared" si="13"/>
        <v>1940</v>
      </c>
      <c r="N37" s="148"/>
      <c r="O37" s="176" t="s">
        <v>201</v>
      </c>
    </row>
    <row r="38" spans="1:17" s="2" customFormat="1" ht="25.15" customHeight="1" thickTop="1">
      <c r="A38" s="2" t="s">
        <v>8</v>
      </c>
      <c r="B38" s="205" t="s">
        <v>203</v>
      </c>
      <c r="C38" s="205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61" t="s">
        <v>77</v>
      </c>
      <c r="Q38" s="77" t="s">
        <v>78</v>
      </c>
    </row>
    <row r="39" spans="1:17" s="2" customFormat="1" ht="24.6" customHeight="1">
      <c r="B39" s="187" t="s">
        <v>204</v>
      </c>
      <c r="C39" s="187"/>
      <c r="D39" s="187"/>
      <c r="E39" s="187"/>
      <c r="F39" s="187"/>
      <c r="G39" s="187"/>
      <c r="H39" s="187"/>
      <c r="I39" s="187"/>
      <c r="J39" s="187"/>
      <c r="K39" s="187"/>
      <c r="L39" s="187"/>
      <c r="M39" s="187"/>
      <c r="N39" s="187"/>
      <c r="O39" s="187"/>
      <c r="P39" s="62"/>
      <c r="Q39" s="77" t="s">
        <v>79</v>
      </c>
    </row>
    <row r="40" spans="1:17" s="2" customFormat="1" ht="24.6" customHeight="1">
      <c r="B40" s="186" t="s">
        <v>205</v>
      </c>
      <c r="C40" s="186"/>
      <c r="D40" s="186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</row>
    <row r="41" spans="1:17" s="2" customFormat="1" ht="24.6" customHeight="1">
      <c r="B41" s="186" t="s">
        <v>209</v>
      </c>
      <c r="C41" s="186"/>
      <c r="D41" s="186"/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86"/>
    </row>
  </sheetData>
  <mergeCells count="8">
    <mergeCell ref="B40:O40"/>
    <mergeCell ref="B41:O41"/>
    <mergeCell ref="B1:O1"/>
    <mergeCell ref="L2:O2"/>
    <mergeCell ref="I19:O19"/>
    <mergeCell ref="I23:O23"/>
    <mergeCell ref="B38:O38"/>
    <mergeCell ref="B39:O39"/>
  </mergeCells>
  <phoneticPr fontId="26" type="noConversion"/>
  <conditionalFormatting sqref="G4:G37">
    <cfRule type="cellIs" dxfId="12" priority="2" stopIfTrue="1" operator="lessThan">
      <formula>30</formula>
    </cfRule>
  </conditionalFormatting>
  <conditionalFormatting sqref="N4:N18">
    <cfRule type="cellIs" dxfId="11" priority="1" stopIfTrue="1" operator="lessThan">
      <formula>30</formula>
    </cfRule>
  </conditionalFormatting>
  <conditionalFormatting sqref="N20:N22">
    <cfRule type="cellIs" dxfId="10" priority="3" stopIfTrue="1" operator="lessThan">
      <formula>30</formula>
    </cfRule>
  </conditionalFormatting>
  <printOptions horizontalCentered="1"/>
  <pageMargins left="0.23622047244094499" right="0.23622047244094499" top="0.15748031496063" bottom="0.15748031496063" header="0" footer="0"/>
  <pageSetup scale="62" orientation="portrait" horizontalDpi="180" verticalDpi="18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BB5D8-9976-46A5-AE23-4614660E28AD}">
  <sheetPr>
    <pageSetUpPr fitToPage="1"/>
  </sheetPr>
  <dimension ref="A1:W31"/>
  <sheetViews>
    <sheetView zoomScale="70" zoomScaleNormal="70" workbookViewId="0">
      <selection activeCell="R5" sqref="R5"/>
    </sheetView>
  </sheetViews>
  <sheetFormatPr defaultColWidth="9" defaultRowHeight="16.5"/>
  <cols>
    <col min="1" max="1" width="1.875" style="3" customWidth="1"/>
    <col min="2" max="2" width="10" style="4" customWidth="1"/>
    <col min="3" max="3" width="9.875" style="4" customWidth="1"/>
    <col min="4" max="4" width="10.875" style="4" customWidth="1"/>
    <col min="5" max="5" width="10.5" style="4" customWidth="1"/>
    <col min="6" max="6" width="11" style="4" customWidth="1"/>
    <col min="7" max="7" width="9.125" style="4" customWidth="1"/>
    <col min="8" max="8" width="10.375" style="4" customWidth="1"/>
    <col min="9" max="9" width="10" style="4" customWidth="1"/>
    <col min="10" max="10" width="9.875" style="4" customWidth="1"/>
    <col min="11" max="11" width="10.875" style="4" customWidth="1"/>
    <col min="12" max="12" width="10.5" style="4" customWidth="1"/>
    <col min="13" max="13" width="11" style="4" customWidth="1"/>
    <col min="14" max="14" width="9" style="4" customWidth="1"/>
    <col min="15" max="15" width="10.5" style="4" customWidth="1"/>
    <col min="16" max="16" width="9" style="3" customWidth="1"/>
    <col min="17" max="17" width="19.125" style="3" customWidth="1"/>
    <col min="18" max="18" width="14" style="5" customWidth="1"/>
    <col min="19" max="19" width="16.75" style="3" customWidth="1"/>
    <col min="20" max="256" width="9" style="3"/>
    <col min="257" max="257" width="1.875" style="3" customWidth="1"/>
    <col min="258" max="258" width="10" style="3" customWidth="1"/>
    <col min="259" max="259" width="9.875" style="3" customWidth="1"/>
    <col min="260" max="260" width="10.875" style="3" customWidth="1"/>
    <col min="261" max="261" width="10.5" style="3" customWidth="1"/>
    <col min="262" max="262" width="11" style="3" customWidth="1"/>
    <col min="263" max="263" width="9.125" style="3" customWidth="1"/>
    <col min="264" max="264" width="10.375" style="3" customWidth="1"/>
    <col min="265" max="265" width="10" style="3" customWidth="1"/>
    <col min="266" max="266" width="9.875" style="3" customWidth="1"/>
    <col min="267" max="267" width="10.875" style="3" customWidth="1"/>
    <col min="268" max="268" width="10.5" style="3" customWidth="1"/>
    <col min="269" max="269" width="11" style="3" customWidth="1"/>
    <col min="270" max="270" width="9" style="3"/>
    <col min="271" max="271" width="10.5" style="3" customWidth="1"/>
    <col min="272" max="272" width="9" style="3"/>
    <col min="273" max="273" width="19.125" style="3" customWidth="1"/>
    <col min="274" max="274" width="14" style="3" customWidth="1"/>
    <col min="275" max="275" width="16.75" style="3" customWidth="1"/>
    <col min="276" max="512" width="9" style="3"/>
    <col min="513" max="513" width="1.875" style="3" customWidth="1"/>
    <col min="514" max="514" width="10" style="3" customWidth="1"/>
    <col min="515" max="515" width="9.875" style="3" customWidth="1"/>
    <col min="516" max="516" width="10.875" style="3" customWidth="1"/>
    <col min="517" max="517" width="10.5" style="3" customWidth="1"/>
    <col min="518" max="518" width="11" style="3" customWidth="1"/>
    <col min="519" max="519" width="9.125" style="3" customWidth="1"/>
    <col min="520" max="520" width="10.375" style="3" customWidth="1"/>
    <col min="521" max="521" width="10" style="3" customWidth="1"/>
    <col min="522" max="522" width="9.875" style="3" customWidth="1"/>
    <col min="523" max="523" width="10.875" style="3" customWidth="1"/>
    <col min="524" max="524" width="10.5" style="3" customWidth="1"/>
    <col min="525" max="525" width="11" style="3" customWidth="1"/>
    <col min="526" max="526" width="9" style="3"/>
    <col min="527" max="527" width="10.5" style="3" customWidth="1"/>
    <col min="528" max="528" width="9" style="3"/>
    <col min="529" max="529" width="19.125" style="3" customWidth="1"/>
    <col min="530" max="530" width="14" style="3" customWidth="1"/>
    <col min="531" max="531" width="16.75" style="3" customWidth="1"/>
    <col min="532" max="768" width="9" style="3"/>
    <col min="769" max="769" width="1.875" style="3" customWidth="1"/>
    <col min="770" max="770" width="10" style="3" customWidth="1"/>
    <col min="771" max="771" width="9.875" style="3" customWidth="1"/>
    <col min="772" max="772" width="10.875" style="3" customWidth="1"/>
    <col min="773" max="773" width="10.5" style="3" customWidth="1"/>
    <col min="774" max="774" width="11" style="3" customWidth="1"/>
    <col min="775" max="775" width="9.125" style="3" customWidth="1"/>
    <col min="776" max="776" width="10.375" style="3" customWidth="1"/>
    <col min="777" max="777" width="10" style="3" customWidth="1"/>
    <col min="778" max="778" width="9.875" style="3" customWidth="1"/>
    <col min="779" max="779" width="10.875" style="3" customWidth="1"/>
    <col min="780" max="780" width="10.5" style="3" customWidth="1"/>
    <col min="781" max="781" width="11" style="3" customWidth="1"/>
    <col min="782" max="782" width="9" style="3"/>
    <col min="783" max="783" width="10.5" style="3" customWidth="1"/>
    <col min="784" max="784" width="9" style="3"/>
    <col min="785" max="785" width="19.125" style="3" customWidth="1"/>
    <col min="786" max="786" width="14" style="3" customWidth="1"/>
    <col min="787" max="787" width="16.75" style="3" customWidth="1"/>
    <col min="788" max="1024" width="9" style="3"/>
    <col min="1025" max="1025" width="1.875" style="3" customWidth="1"/>
    <col min="1026" max="1026" width="10" style="3" customWidth="1"/>
    <col min="1027" max="1027" width="9.875" style="3" customWidth="1"/>
    <col min="1028" max="1028" width="10.875" style="3" customWidth="1"/>
    <col min="1029" max="1029" width="10.5" style="3" customWidth="1"/>
    <col min="1030" max="1030" width="11" style="3" customWidth="1"/>
    <col min="1031" max="1031" width="9.125" style="3" customWidth="1"/>
    <col min="1032" max="1032" width="10.375" style="3" customWidth="1"/>
    <col min="1033" max="1033" width="10" style="3" customWidth="1"/>
    <col min="1034" max="1034" width="9.875" style="3" customWidth="1"/>
    <col min="1035" max="1035" width="10.875" style="3" customWidth="1"/>
    <col min="1036" max="1036" width="10.5" style="3" customWidth="1"/>
    <col min="1037" max="1037" width="11" style="3" customWidth="1"/>
    <col min="1038" max="1038" width="9" style="3"/>
    <col min="1039" max="1039" width="10.5" style="3" customWidth="1"/>
    <col min="1040" max="1040" width="9" style="3"/>
    <col min="1041" max="1041" width="19.125" style="3" customWidth="1"/>
    <col min="1042" max="1042" width="14" style="3" customWidth="1"/>
    <col min="1043" max="1043" width="16.75" style="3" customWidth="1"/>
    <col min="1044" max="1280" width="9" style="3"/>
    <col min="1281" max="1281" width="1.875" style="3" customWidth="1"/>
    <col min="1282" max="1282" width="10" style="3" customWidth="1"/>
    <col min="1283" max="1283" width="9.875" style="3" customWidth="1"/>
    <col min="1284" max="1284" width="10.875" style="3" customWidth="1"/>
    <col min="1285" max="1285" width="10.5" style="3" customWidth="1"/>
    <col min="1286" max="1286" width="11" style="3" customWidth="1"/>
    <col min="1287" max="1287" width="9.125" style="3" customWidth="1"/>
    <col min="1288" max="1288" width="10.375" style="3" customWidth="1"/>
    <col min="1289" max="1289" width="10" style="3" customWidth="1"/>
    <col min="1290" max="1290" width="9.875" style="3" customWidth="1"/>
    <col min="1291" max="1291" width="10.875" style="3" customWidth="1"/>
    <col min="1292" max="1292" width="10.5" style="3" customWidth="1"/>
    <col min="1293" max="1293" width="11" style="3" customWidth="1"/>
    <col min="1294" max="1294" width="9" style="3"/>
    <col min="1295" max="1295" width="10.5" style="3" customWidth="1"/>
    <col min="1296" max="1296" width="9" style="3"/>
    <col min="1297" max="1297" width="19.125" style="3" customWidth="1"/>
    <col min="1298" max="1298" width="14" style="3" customWidth="1"/>
    <col min="1299" max="1299" width="16.75" style="3" customWidth="1"/>
    <col min="1300" max="1536" width="9" style="3"/>
    <col min="1537" max="1537" width="1.875" style="3" customWidth="1"/>
    <col min="1538" max="1538" width="10" style="3" customWidth="1"/>
    <col min="1539" max="1539" width="9.875" style="3" customWidth="1"/>
    <col min="1540" max="1540" width="10.875" style="3" customWidth="1"/>
    <col min="1541" max="1541" width="10.5" style="3" customWidth="1"/>
    <col min="1542" max="1542" width="11" style="3" customWidth="1"/>
    <col min="1543" max="1543" width="9.125" style="3" customWidth="1"/>
    <col min="1544" max="1544" width="10.375" style="3" customWidth="1"/>
    <col min="1545" max="1545" width="10" style="3" customWidth="1"/>
    <col min="1546" max="1546" width="9.875" style="3" customWidth="1"/>
    <col min="1547" max="1547" width="10.875" style="3" customWidth="1"/>
    <col min="1548" max="1548" width="10.5" style="3" customWidth="1"/>
    <col min="1549" max="1549" width="11" style="3" customWidth="1"/>
    <col min="1550" max="1550" width="9" style="3"/>
    <col min="1551" max="1551" width="10.5" style="3" customWidth="1"/>
    <col min="1552" max="1552" width="9" style="3"/>
    <col min="1553" max="1553" width="19.125" style="3" customWidth="1"/>
    <col min="1554" max="1554" width="14" style="3" customWidth="1"/>
    <col min="1555" max="1555" width="16.75" style="3" customWidth="1"/>
    <col min="1556" max="1792" width="9" style="3"/>
    <col min="1793" max="1793" width="1.875" style="3" customWidth="1"/>
    <col min="1794" max="1794" width="10" style="3" customWidth="1"/>
    <col min="1795" max="1795" width="9.875" style="3" customWidth="1"/>
    <col min="1796" max="1796" width="10.875" style="3" customWidth="1"/>
    <col min="1797" max="1797" width="10.5" style="3" customWidth="1"/>
    <col min="1798" max="1798" width="11" style="3" customWidth="1"/>
    <col min="1799" max="1799" width="9.125" style="3" customWidth="1"/>
    <col min="1800" max="1800" width="10.375" style="3" customWidth="1"/>
    <col min="1801" max="1801" width="10" style="3" customWidth="1"/>
    <col min="1802" max="1802" width="9.875" style="3" customWidth="1"/>
    <col min="1803" max="1803" width="10.875" style="3" customWidth="1"/>
    <col min="1804" max="1804" width="10.5" style="3" customWidth="1"/>
    <col min="1805" max="1805" width="11" style="3" customWidth="1"/>
    <col min="1806" max="1806" width="9" style="3"/>
    <col min="1807" max="1807" width="10.5" style="3" customWidth="1"/>
    <col min="1808" max="1808" width="9" style="3"/>
    <col min="1809" max="1809" width="19.125" style="3" customWidth="1"/>
    <col min="1810" max="1810" width="14" style="3" customWidth="1"/>
    <col min="1811" max="1811" width="16.75" style="3" customWidth="1"/>
    <col min="1812" max="2048" width="9" style="3"/>
    <col min="2049" max="2049" width="1.875" style="3" customWidth="1"/>
    <col min="2050" max="2050" width="10" style="3" customWidth="1"/>
    <col min="2051" max="2051" width="9.875" style="3" customWidth="1"/>
    <col min="2052" max="2052" width="10.875" style="3" customWidth="1"/>
    <col min="2053" max="2053" width="10.5" style="3" customWidth="1"/>
    <col min="2054" max="2054" width="11" style="3" customWidth="1"/>
    <col min="2055" max="2055" width="9.125" style="3" customWidth="1"/>
    <col min="2056" max="2056" width="10.375" style="3" customWidth="1"/>
    <col min="2057" max="2057" width="10" style="3" customWidth="1"/>
    <col min="2058" max="2058" width="9.875" style="3" customWidth="1"/>
    <col min="2059" max="2059" width="10.875" style="3" customWidth="1"/>
    <col min="2060" max="2060" width="10.5" style="3" customWidth="1"/>
    <col min="2061" max="2061" width="11" style="3" customWidth="1"/>
    <col min="2062" max="2062" width="9" style="3"/>
    <col min="2063" max="2063" width="10.5" style="3" customWidth="1"/>
    <col min="2064" max="2064" width="9" style="3"/>
    <col min="2065" max="2065" width="19.125" style="3" customWidth="1"/>
    <col min="2066" max="2066" width="14" style="3" customWidth="1"/>
    <col min="2067" max="2067" width="16.75" style="3" customWidth="1"/>
    <col min="2068" max="2304" width="9" style="3"/>
    <col min="2305" max="2305" width="1.875" style="3" customWidth="1"/>
    <col min="2306" max="2306" width="10" style="3" customWidth="1"/>
    <col min="2307" max="2307" width="9.875" style="3" customWidth="1"/>
    <col min="2308" max="2308" width="10.875" style="3" customWidth="1"/>
    <col min="2309" max="2309" width="10.5" style="3" customWidth="1"/>
    <col min="2310" max="2310" width="11" style="3" customWidth="1"/>
    <col min="2311" max="2311" width="9.125" style="3" customWidth="1"/>
    <col min="2312" max="2312" width="10.375" style="3" customWidth="1"/>
    <col min="2313" max="2313" width="10" style="3" customWidth="1"/>
    <col min="2314" max="2314" width="9.875" style="3" customWidth="1"/>
    <col min="2315" max="2315" width="10.875" style="3" customWidth="1"/>
    <col min="2316" max="2316" width="10.5" style="3" customWidth="1"/>
    <col min="2317" max="2317" width="11" style="3" customWidth="1"/>
    <col min="2318" max="2318" width="9" style="3"/>
    <col min="2319" max="2319" width="10.5" style="3" customWidth="1"/>
    <col min="2320" max="2320" width="9" style="3"/>
    <col min="2321" max="2321" width="19.125" style="3" customWidth="1"/>
    <col min="2322" max="2322" width="14" style="3" customWidth="1"/>
    <col min="2323" max="2323" width="16.75" style="3" customWidth="1"/>
    <col min="2324" max="2560" width="9" style="3"/>
    <col min="2561" max="2561" width="1.875" style="3" customWidth="1"/>
    <col min="2562" max="2562" width="10" style="3" customWidth="1"/>
    <col min="2563" max="2563" width="9.875" style="3" customWidth="1"/>
    <col min="2564" max="2564" width="10.875" style="3" customWidth="1"/>
    <col min="2565" max="2565" width="10.5" style="3" customWidth="1"/>
    <col min="2566" max="2566" width="11" style="3" customWidth="1"/>
    <col min="2567" max="2567" width="9.125" style="3" customWidth="1"/>
    <col min="2568" max="2568" width="10.375" style="3" customWidth="1"/>
    <col min="2569" max="2569" width="10" style="3" customWidth="1"/>
    <col min="2570" max="2570" width="9.875" style="3" customWidth="1"/>
    <col min="2571" max="2571" width="10.875" style="3" customWidth="1"/>
    <col min="2572" max="2572" width="10.5" style="3" customWidth="1"/>
    <col min="2573" max="2573" width="11" style="3" customWidth="1"/>
    <col min="2574" max="2574" width="9" style="3"/>
    <col min="2575" max="2575" width="10.5" style="3" customWidth="1"/>
    <col min="2576" max="2576" width="9" style="3"/>
    <col min="2577" max="2577" width="19.125" style="3" customWidth="1"/>
    <col min="2578" max="2578" width="14" style="3" customWidth="1"/>
    <col min="2579" max="2579" width="16.75" style="3" customWidth="1"/>
    <col min="2580" max="2816" width="9" style="3"/>
    <col min="2817" max="2817" width="1.875" style="3" customWidth="1"/>
    <col min="2818" max="2818" width="10" style="3" customWidth="1"/>
    <col min="2819" max="2819" width="9.875" style="3" customWidth="1"/>
    <col min="2820" max="2820" width="10.875" style="3" customWidth="1"/>
    <col min="2821" max="2821" width="10.5" style="3" customWidth="1"/>
    <col min="2822" max="2822" width="11" style="3" customWidth="1"/>
    <col min="2823" max="2823" width="9.125" style="3" customWidth="1"/>
    <col min="2824" max="2824" width="10.375" style="3" customWidth="1"/>
    <col min="2825" max="2825" width="10" style="3" customWidth="1"/>
    <col min="2826" max="2826" width="9.875" style="3" customWidth="1"/>
    <col min="2827" max="2827" width="10.875" style="3" customWidth="1"/>
    <col min="2828" max="2828" width="10.5" style="3" customWidth="1"/>
    <col min="2829" max="2829" width="11" style="3" customWidth="1"/>
    <col min="2830" max="2830" width="9" style="3"/>
    <col min="2831" max="2831" width="10.5" style="3" customWidth="1"/>
    <col min="2832" max="2832" width="9" style="3"/>
    <col min="2833" max="2833" width="19.125" style="3" customWidth="1"/>
    <col min="2834" max="2834" width="14" style="3" customWidth="1"/>
    <col min="2835" max="2835" width="16.75" style="3" customWidth="1"/>
    <col min="2836" max="3072" width="9" style="3"/>
    <col min="3073" max="3073" width="1.875" style="3" customWidth="1"/>
    <col min="3074" max="3074" width="10" style="3" customWidth="1"/>
    <col min="3075" max="3075" width="9.875" style="3" customWidth="1"/>
    <col min="3076" max="3076" width="10.875" style="3" customWidth="1"/>
    <col min="3077" max="3077" width="10.5" style="3" customWidth="1"/>
    <col min="3078" max="3078" width="11" style="3" customWidth="1"/>
    <col min="3079" max="3079" width="9.125" style="3" customWidth="1"/>
    <col min="3080" max="3080" width="10.375" style="3" customWidth="1"/>
    <col min="3081" max="3081" width="10" style="3" customWidth="1"/>
    <col min="3082" max="3082" width="9.875" style="3" customWidth="1"/>
    <col min="3083" max="3083" width="10.875" style="3" customWidth="1"/>
    <col min="3084" max="3084" width="10.5" style="3" customWidth="1"/>
    <col min="3085" max="3085" width="11" style="3" customWidth="1"/>
    <col min="3086" max="3086" width="9" style="3"/>
    <col min="3087" max="3087" width="10.5" style="3" customWidth="1"/>
    <col min="3088" max="3088" width="9" style="3"/>
    <col min="3089" max="3089" width="19.125" style="3" customWidth="1"/>
    <col min="3090" max="3090" width="14" style="3" customWidth="1"/>
    <col min="3091" max="3091" width="16.75" style="3" customWidth="1"/>
    <col min="3092" max="3328" width="9" style="3"/>
    <col min="3329" max="3329" width="1.875" style="3" customWidth="1"/>
    <col min="3330" max="3330" width="10" style="3" customWidth="1"/>
    <col min="3331" max="3331" width="9.875" style="3" customWidth="1"/>
    <col min="3332" max="3332" width="10.875" style="3" customWidth="1"/>
    <col min="3333" max="3333" width="10.5" style="3" customWidth="1"/>
    <col min="3334" max="3334" width="11" style="3" customWidth="1"/>
    <col min="3335" max="3335" width="9.125" style="3" customWidth="1"/>
    <col min="3336" max="3336" width="10.375" style="3" customWidth="1"/>
    <col min="3337" max="3337" width="10" style="3" customWidth="1"/>
    <col min="3338" max="3338" width="9.875" style="3" customWidth="1"/>
    <col min="3339" max="3339" width="10.875" style="3" customWidth="1"/>
    <col min="3340" max="3340" width="10.5" style="3" customWidth="1"/>
    <col min="3341" max="3341" width="11" style="3" customWidth="1"/>
    <col min="3342" max="3342" width="9" style="3"/>
    <col min="3343" max="3343" width="10.5" style="3" customWidth="1"/>
    <col min="3344" max="3344" width="9" style="3"/>
    <col min="3345" max="3345" width="19.125" style="3" customWidth="1"/>
    <col min="3346" max="3346" width="14" style="3" customWidth="1"/>
    <col min="3347" max="3347" width="16.75" style="3" customWidth="1"/>
    <col min="3348" max="3584" width="9" style="3"/>
    <col min="3585" max="3585" width="1.875" style="3" customWidth="1"/>
    <col min="3586" max="3586" width="10" style="3" customWidth="1"/>
    <col min="3587" max="3587" width="9.875" style="3" customWidth="1"/>
    <col min="3588" max="3588" width="10.875" style="3" customWidth="1"/>
    <col min="3589" max="3589" width="10.5" style="3" customWidth="1"/>
    <col min="3590" max="3590" width="11" style="3" customWidth="1"/>
    <col min="3591" max="3591" width="9.125" style="3" customWidth="1"/>
    <col min="3592" max="3592" width="10.375" style="3" customWidth="1"/>
    <col min="3593" max="3593" width="10" style="3" customWidth="1"/>
    <col min="3594" max="3594" width="9.875" style="3" customWidth="1"/>
    <col min="3595" max="3595" width="10.875" style="3" customWidth="1"/>
    <col min="3596" max="3596" width="10.5" style="3" customWidth="1"/>
    <col min="3597" max="3597" width="11" style="3" customWidth="1"/>
    <col min="3598" max="3598" width="9" style="3"/>
    <col min="3599" max="3599" width="10.5" style="3" customWidth="1"/>
    <col min="3600" max="3600" width="9" style="3"/>
    <col min="3601" max="3601" width="19.125" style="3" customWidth="1"/>
    <col min="3602" max="3602" width="14" style="3" customWidth="1"/>
    <col min="3603" max="3603" width="16.75" style="3" customWidth="1"/>
    <col min="3604" max="3840" width="9" style="3"/>
    <col min="3841" max="3841" width="1.875" style="3" customWidth="1"/>
    <col min="3842" max="3842" width="10" style="3" customWidth="1"/>
    <col min="3843" max="3843" width="9.875" style="3" customWidth="1"/>
    <col min="3844" max="3844" width="10.875" style="3" customWidth="1"/>
    <col min="3845" max="3845" width="10.5" style="3" customWidth="1"/>
    <col min="3846" max="3846" width="11" style="3" customWidth="1"/>
    <col min="3847" max="3847" width="9.125" style="3" customWidth="1"/>
    <col min="3848" max="3848" width="10.375" style="3" customWidth="1"/>
    <col min="3849" max="3849" width="10" style="3" customWidth="1"/>
    <col min="3850" max="3850" width="9.875" style="3" customWidth="1"/>
    <col min="3851" max="3851" width="10.875" style="3" customWidth="1"/>
    <col min="3852" max="3852" width="10.5" style="3" customWidth="1"/>
    <col min="3853" max="3853" width="11" style="3" customWidth="1"/>
    <col min="3854" max="3854" width="9" style="3"/>
    <col min="3855" max="3855" width="10.5" style="3" customWidth="1"/>
    <col min="3856" max="3856" width="9" style="3"/>
    <col min="3857" max="3857" width="19.125" style="3" customWidth="1"/>
    <col min="3858" max="3858" width="14" style="3" customWidth="1"/>
    <col min="3859" max="3859" width="16.75" style="3" customWidth="1"/>
    <col min="3860" max="4096" width="9" style="3"/>
    <col min="4097" max="4097" width="1.875" style="3" customWidth="1"/>
    <col min="4098" max="4098" width="10" style="3" customWidth="1"/>
    <col min="4099" max="4099" width="9.875" style="3" customWidth="1"/>
    <col min="4100" max="4100" width="10.875" style="3" customWidth="1"/>
    <col min="4101" max="4101" width="10.5" style="3" customWidth="1"/>
    <col min="4102" max="4102" width="11" style="3" customWidth="1"/>
    <col min="4103" max="4103" width="9.125" style="3" customWidth="1"/>
    <col min="4104" max="4104" width="10.375" style="3" customWidth="1"/>
    <col min="4105" max="4105" width="10" style="3" customWidth="1"/>
    <col min="4106" max="4106" width="9.875" style="3" customWidth="1"/>
    <col min="4107" max="4107" width="10.875" style="3" customWidth="1"/>
    <col min="4108" max="4108" width="10.5" style="3" customWidth="1"/>
    <col min="4109" max="4109" width="11" style="3" customWidth="1"/>
    <col min="4110" max="4110" width="9" style="3"/>
    <col min="4111" max="4111" width="10.5" style="3" customWidth="1"/>
    <col min="4112" max="4112" width="9" style="3"/>
    <col min="4113" max="4113" width="19.125" style="3" customWidth="1"/>
    <col min="4114" max="4114" width="14" style="3" customWidth="1"/>
    <col min="4115" max="4115" width="16.75" style="3" customWidth="1"/>
    <col min="4116" max="4352" width="9" style="3"/>
    <col min="4353" max="4353" width="1.875" style="3" customWidth="1"/>
    <col min="4354" max="4354" width="10" style="3" customWidth="1"/>
    <col min="4355" max="4355" width="9.875" style="3" customWidth="1"/>
    <col min="4356" max="4356" width="10.875" style="3" customWidth="1"/>
    <col min="4357" max="4357" width="10.5" style="3" customWidth="1"/>
    <col min="4358" max="4358" width="11" style="3" customWidth="1"/>
    <col min="4359" max="4359" width="9.125" style="3" customWidth="1"/>
    <col min="4360" max="4360" width="10.375" style="3" customWidth="1"/>
    <col min="4361" max="4361" width="10" style="3" customWidth="1"/>
    <col min="4362" max="4362" width="9.875" style="3" customWidth="1"/>
    <col min="4363" max="4363" width="10.875" style="3" customWidth="1"/>
    <col min="4364" max="4364" width="10.5" style="3" customWidth="1"/>
    <col min="4365" max="4365" width="11" style="3" customWidth="1"/>
    <col min="4366" max="4366" width="9" style="3"/>
    <col min="4367" max="4367" width="10.5" style="3" customWidth="1"/>
    <col min="4368" max="4368" width="9" style="3"/>
    <col min="4369" max="4369" width="19.125" style="3" customWidth="1"/>
    <col min="4370" max="4370" width="14" style="3" customWidth="1"/>
    <col min="4371" max="4371" width="16.75" style="3" customWidth="1"/>
    <col min="4372" max="4608" width="9" style="3"/>
    <col min="4609" max="4609" width="1.875" style="3" customWidth="1"/>
    <col min="4610" max="4610" width="10" style="3" customWidth="1"/>
    <col min="4611" max="4611" width="9.875" style="3" customWidth="1"/>
    <col min="4612" max="4612" width="10.875" style="3" customWidth="1"/>
    <col min="4613" max="4613" width="10.5" style="3" customWidth="1"/>
    <col min="4614" max="4614" width="11" style="3" customWidth="1"/>
    <col min="4615" max="4615" width="9.125" style="3" customWidth="1"/>
    <col min="4616" max="4616" width="10.375" style="3" customWidth="1"/>
    <col min="4617" max="4617" width="10" style="3" customWidth="1"/>
    <col min="4618" max="4618" width="9.875" style="3" customWidth="1"/>
    <col min="4619" max="4619" width="10.875" style="3" customWidth="1"/>
    <col min="4620" max="4620" width="10.5" style="3" customWidth="1"/>
    <col min="4621" max="4621" width="11" style="3" customWidth="1"/>
    <col min="4622" max="4622" width="9" style="3"/>
    <col min="4623" max="4623" width="10.5" style="3" customWidth="1"/>
    <col min="4624" max="4624" width="9" style="3"/>
    <col min="4625" max="4625" width="19.125" style="3" customWidth="1"/>
    <col min="4626" max="4626" width="14" style="3" customWidth="1"/>
    <col min="4627" max="4627" width="16.75" style="3" customWidth="1"/>
    <col min="4628" max="4864" width="9" style="3"/>
    <col min="4865" max="4865" width="1.875" style="3" customWidth="1"/>
    <col min="4866" max="4866" width="10" style="3" customWidth="1"/>
    <col min="4867" max="4867" width="9.875" style="3" customWidth="1"/>
    <col min="4868" max="4868" width="10.875" style="3" customWidth="1"/>
    <col min="4869" max="4869" width="10.5" style="3" customWidth="1"/>
    <col min="4870" max="4870" width="11" style="3" customWidth="1"/>
    <col min="4871" max="4871" width="9.125" style="3" customWidth="1"/>
    <col min="4872" max="4872" width="10.375" style="3" customWidth="1"/>
    <col min="4873" max="4873" width="10" style="3" customWidth="1"/>
    <col min="4874" max="4874" width="9.875" style="3" customWidth="1"/>
    <col min="4875" max="4875" width="10.875" style="3" customWidth="1"/>
    <col min="4876" max="4876" width="10.5" style="3" customWidth="1"/>
    <col min="4877" max="4877" width="11" style="3" customWidth="1"/>
    <col min="4878" max="4878" width="9" style="3"/>
    <col min="4879" max="4879" width="10.5" style="3" customWidth="1"/>
    <col min="4880" max="4880" width="9" style="3"/>
    <col min="4881" max="4881" width="19.125" style="3" customWidth="1"/>
    <col min="4882" max="4882" width="14" style="3" customWidth="1"/>
    <col min="4883" max="4883" width="16.75" style="3" customWidth="1"/>
    <col min="4884" max="5120" width="9" style="3"/>
    <col min="5121" max="5121" width="1.875" style="3" customWidth="1"/>
    <col min="5122" max="5122" width="10" style="3" customWidth="1"/>
    <col min="5123" max="5123" width="9.875" style="3" customWidth="1"/>
    <col min="5124" max="5124" width="10.875" style="3" customWidth="1"/>
    <col min="5125" max="5125" width="10.5" style="3" customWidth="1"/>
    <col min="5126" max="5126" width="11" style="3" customWidth="1"/>
    <col min="5127" max="5127" width="9.125" style="3" customWidth="1"/>
    <col min="5128" max="5128" width="10.375" style="3" customWidth="1"/>
    <col min="5129" max="5129" width="10" style="3" customWidth="1"/>
    <col min="5130" max="5130" width="9.875" style="3" customWidth="1"/>
    <col min="5131" max="5131" width="10.875" style="3" customWidth="1"/>
    <col min="5132" max="5132" width="10.5" style="3" customWidth="1"/>
    <col min="5133" max="5133" width="11" style="3" customWidth="1"/>
    <col min="5134" max="5134" width="9" style="3"/>
    <col min="5135" max="5135" width="10.5" style="3" customWidth="1"/>
    <col min="5136" max="5136" width="9" style="3"/>
    <col min="5137" max="5137" width="19.125" style="3" customWidth="1"/>
    <col min="5138" max="5138" width="14" style="3" customWidth="1"/>
    <col min="5139" max="5139" width="16.75" style="3" customWidth="1"/>
    <col min="5140" max="5376" width="9" style="3"/>
    <col min="5377" max="5377" width="1.875" style="3" customWidth="1"/>
    <col min="5378" max="5378" width="10" style="3" customWidth="1"/>
    <col min="5379" max="5379" width="9.875" style="3" customWidth="1"/>
    <col min="5380" max="5380" width="10.875" style="3" customWidth="1"/>
    <col min="5381" max="5381" width="10.5" style="3" customWidth="1"/>
    <col min="5382" max="5382" width="11" style="3" customWidth="1"/>
    <col min="5383" max="5383" width="9.125" style="3" customWidth="1"/>
    <col min="5384" max="5384" width="10.375" style="3" customWidth="1"/>
    <col min="5385" max="5385" width="10" style="3" customWidth="1"/>
    <col min="5386" max="5386" width="9.875" style="3" customWidth="1"/>
    <col min="5387" max="5387" width="10.875" style="3" customWidth="1"/>
    <col min="5388" max="5388" width="10.5" style="3" customWidth="1"/>
    <col min="5389" max="5389" width="11" style="3" customWidth="1"/>
    <col min="5390" max="5390" width="9" style="3"/>
    <col min="5391" max="5391" width="10.5" style="3" customWidth="1"/>
    <col min="5392" max="5392" width="9" style="3"/>
    <col min="5393" max="5393" width="19.125" style="3" customWidth="1"/>
    <col min="5394" max="5394" width="14" style="3" customWidth="1"/>
    <col min="5395" max="5395" width="16.75" style="3" customWidth="1"/>
    <col min="5396" max="5632" width="9" style="3"/>
    <col min="5633" max="5633" width="1.875" style="3" customWidth="1"/>
    <col min="5634" max="5634" width="10" style="3" customWidth="1"/>
    <col min="5635" max="5635" width="9.875" style="3" customWidth="1"/>
    <col min="5636" max="5636" width="10.875" style="3" customWidth="1"/>
    <col min="5637" max="5637" width="10.5" style="3" customWidth="1"/>
    <col min="5638" max="5638" width="11" style="3" customWidth="1"/>
    <col min="5639" max="5639" width="9.125" style="3" customWidth="1"/>
    <col min="5640" max="5640" width="10.375" style="3" customWidth="1"/>
    <col min="5641" max="5641" width="10" style="3" customWidth="1"/>
    <col min="5642" max="5642" width="9.875" style="3" customWidth="1"/>
    <col min="5643" max="5643" width="10.875" style="3" customWidth="1"/>
    <col min="5644" max="5644" width="10.5" style="3" customWidth="1"/>
    <col min="5645" max="5645" width="11" style="3" customWidth="1"/>
    <col min="5646" max="5646" width="9" style="3"/>
    <col min="5647" max="5647" width="10.5" style="3" customWidth="1"/>
    <col min="5648" max="5648" width="9" style="3"/>
    <col min="5649" max="5649" width="19.125" style="3" customWidth="1"/>
    <col min="5650" max="5650" width="14" style="3" customWidth="1"/>
    <col min="5651" max="5651" width="16.75" style="3" customWidth="1"/>
    <col min="5652" max="5888" width="9" style="3"/>
    <col min="5889" max="5889" width="1.875" style="3" customWidth="1"/>
    <col min="5890" max="5890" width="10" style="3" customWidth="1"/>
    <col min="5891" max="5891" width="9.875" style="3" customWidth="1"/>
    <col min="5892" max="5892" width="10.875" style="3" customWidth="1"/>
    <col min="5893" max="5893" width="10.5" style="3" customWidth="1"/>
    <col min="5894" max="5894" width="11" style="3" customWidth="1"/>
    <col min="5895" max="5895" width="9.125" style="3" customWidth="1"/>
    <col min="5896" max="5896" width="10.375" style="3" customWidth="1"/>
    <col min="5897" max="5897" width="10" style="3" customWidth="1"/>
    <col min="5898" max="5898" width="9.875" style="3" customWidth="1"/>
    <col min="5899" max="5899" width="10.875" style="3" customWidth="1"/>
    <col min="5900" max="5900" width="10.5" style="3" customWidth="1"/>
    <col min="5901" max="5901" width="11" style="3" customWidth="1"/>
    <col min="5902" max="5902" width="9" style="3"/>
    <col min="5903" max="5903" width="10.5" style="3" customWidth="1"/>
    <col min="5904" max="5904" width="9" style="3"/>
    <col min="5905" max="5905" width="19.125" style="3" customWidth="1"/>
    <col min="5906" max="5906" width="14" style="3" customWidth="1"/>
    <col min="5907" max="5907" width="16.75" style="3" customWidth="1"/>
    <col min="5908" max="6144" width="9" style="3"/>
    <col min="6145" max="6145" width="1.875" style="3" customWidth="1"/>
    <col min="6146" max="6146" width="10" style="3" customWidth="1"/>
    <col min="6147" max="6147" width="9.875" style="3" customWidth="1"/>
    <col min="6148" max="6148" width="10.875" style="3" customWidth="1"/>
    <col min="6149" max="6149" width="10.5" style="3" customWidth="1"/>
    <col min="6150" max="6150" width="11" style="3" customWidth="1"/>
    <col min="6151" max="6151" width="9.125" style="3" customWidth="1"/>
    <col min="6152" max="6152" width="10.375" style="3" customWidth="1"/>
    <col min="6153" max="6153" width="10" style="3" customWidth="1"/>
    <col min="6154" max="6154" width="9.875" style="3" customWidth="1"/>
    <col min="6155" max="6155" width="10.875" style="3" customWidth="1"/>
    <col min="6156" max="6156" width="10.5" style="3" customWidth="1"/>
    <col min="6157" max="6157" width="11" style="3" customWidth="1"/>
    <col min="6158" max="6158" width="9" style="3"/>
    <col min="6159" max="6159" width="10.5" style="3" customWidth="1"/>
    <col min="6160" max="6160" width="9" style="3"/>
    <col min="6161" max="6161" width="19.125" style="3" customWidth="1"/>
    <col min="6162" max="6162" width="14" style="3" customWidth="1"/>
    <col min="6163" max="6163" width="16.75" style="3" customWidth="1"/>
    <col min="6164" max="6400" width="9" style="3"/>
    <col min="6401" max="6401" width="1.875" style="3" customWidth="1"/>
    <col min="6402" max="6402" width="10" style="3" customWidth="1"/>
    <col min="6403" max="6403" width="9.875" style="3" customWidth="1"/>
    <col min="6404" max="6404" width="10.875" style="3" customWidth="1"/>
    <col min="6405" max="6405" width="10.5" style="3" customWidth="1"/>
    <col min="6406" max="6406" width="11" style="3" customWidth="1"/>
    <col min="6407" max="6407" width="9.125" style="3" customWidth="1"/>
    <col min="6408" max="6408" width="10.375" style="3" customWidth="1"/>
    <col min="6409" max="6409" width="10" style="3" customWidth="1"/>
    <col min="6410" max="6410" width="9.875" style="3" customWidth="1"/>
    <col min="6411" max="6411" width="10.875" style="3" customWidth="1"/>
    <col min="6412" max="6412" width="10.5" style="3" customWidth="1"/>
    <col min="6413" max="6413" width="11" style="3" customWidth="1"/>
    <col min="6414" max="6414" width="9" style="3"/>
    <col min="6415" max="6415" width="10.5" style="3" customWidth="1"/>
    <col min="6416" max="6416" width="9" style="3"/>
    <col min="6417" max="6417" width="19.125" style="3" customWidth="1"/>
    <col min="6418" max="6418" width="14" style="3" customWidth="1"/>
    <col min="6419" max="6419" width="16.75" style="3" customWidth="1"/>
    <col min="6420" max="6656" width="9" style="3"/>
    <col min="6657" max="6657" width="1.875" style="3" customWidth="1"/>
    <col min="6658" max="6658" width="10" style="3" customWidth="1"/>
    <col min="6659" max="6659" width="9.875" style="3" customWidth="1"/>
    <col min="6660" max="6660" width="10.875" style="3" customWidth="1"/>
    <col min="6661" max="6661" width="10.5" style="3" customWidth="1"/>
    <col min="6662" max="6662" width="11" style="3" customWidth="1"/>
    <col min="6663" max="6663" width="9.125" style="3" customWidth="1"/>
    <col min="6664" max="6664" width="10.375" style="3" customWidth="1"/>
    <col min="6665" max="6665" width="10" style="3" customWidth="1"/>
    <col min="6666" max="6666" width="9.875" style="3" customWidth="1"/>
    <col min="6667" max="6667" width="10.875" style="3" customWidth="1"/>
    <col min="6668" max="6668" width="10.5" style="3" customWidth="1"/>
    <col min="6669" max="6669" width="11" style="3" customWidth="1"/>
    <col min="6670" max="6670" width="9" style="3"/>
    <col min="6671" max="6671" width="10.5" style="3" customWidth="1"/>
    <col min="6672" max="6672" width="9" style="3"/>
    <col min="6673" max="6673" width="19.125" style="3" customWidth="1"/>
    <col min="6674" max="6674" width="14" style="3" customWidth="1"/>
    <col min="6675" max="6675" width="16.75" style="3" customWidth="1"/>
    <col min="6676" max="6912" width="9" style="3"/>
    <col min="6913" max="6913" width="1.875" style="3" customWidth="1"/>
    <col min="6914" max="6914" width="10" style="3" customWidth="1"/>
    <col min="6915" max="6915" width="9.875" style="3" customWidth="1"/>
    <col min="6916" max="6916" width="10.875" style="3" customWidth="1"/>
    <col min="6917" max="6917" width="10.5" style="3" customWidth="1"/>
    <col min="6918" max="6918" width="11" style="3" customWidth="1"/>
    <col min="6919" max="6919" width="9.125" style="3" customWidth="1"/>
    <col min="6920" max="6920" width="10.375" style="3" customWidth="1"/>
    <col min="6921" max="6921" width="10" style="3" customWidth="1"/>
    <col min="6922" max="6922" width="9.875" style="3" customWidth="1"/>
    <col min="6923" max="6923" width="10.875" style="3" customWidth="1"/>
    <col min="6924" max="6924" width="10.5" style="3" customWidth="1"/>
    <col min="6925" max="6925" width="11" style="3" customWidth="1"/>
    <col min="6926" max="6926" width="9" style="3"/>
    <col min="6927" max="6927" width="10.5" style="3" customWidth="1"/>
    <col min="6928" max="6928" width="9" style="3"/>
    <col min="6929" max="6929" width="19.125" style="3" customWidth="1"/>
    <col min="6930" max="6930" width="14" style="3" customWidth="1"/>
    <col min="6931" max="6931" width="16.75" style="3" customWidth="1"/>
    <col min="6932" max="7168" width="9" style="3"/>
    <col min="7169" max="7169" width="1.875" style="3" customWidth="1"/>
    <col min="7170" max="7170" width="10" style="3" customWidth="1"/>
    <col min="7171" max="7171" width="9.875" style="3" customWidth="1"/>
    <col min="7172" max="7172" width="10.875" style="3" customWidth="1"/>
    <col min="7173" max="7173" width="10.5" style="3" customWidth="1"/>
    <col min="7174" max="7174" width="11" style="3" customWidth="1"/>
    <col min="7175" max="7175" width="9.125" style="3" customWidth="1"/>
    <col min="7176" max="7176" width="10.375" style="3" customWidth="1"/>
    <col min="7177" max="7177" width="10" style="3" customWidth="1"/>
    <col min="7178" max="7178" width="9.875" style="3" customWidth="1"/>
    <col min="7179" max="7179" width="10.875" style="3" customWidth="1"/>
    <col min="7180" max="7180" width="10.5" style="3" customWidth="1"/>
    <col min="7181" max="7181" width="11" style="3" customWidth="1"/>
    <col min="7182" max="7182" width="9" style="3"/>
    <col min="7183" max="7183" width="10.5" style="3" customWidth="1"/>
    <col min="7184" max="7184" width="9" style="3"/>
    <col min="7185" max="7185" width="19.125" style="3" customWidth="1"/>
    <col min="7186" max="7186" width="14" style="3" customWidth="1"/>
    <col min="7187" max="7187" width="16.75" style="3" customWidth="1"/>
    <col min="7188" max="7424" width="9" style="3"/>
    <col min="7425" max="7425" width="1.875" style="3" customWidth="1"/>
    <col min="7426" max="7426" width="10" style="3" customWidth="1"/>
    <col min="7427" max="7427" width="9.875" style="3" customWidth="1"/>
    <col min="7428" max="7428" width="10.875" style="3" customWidth="1"/>
    <col min="7429" max="7429" width="10.5" style="3" customWidth="1"/>
    <col min="7430" max="7430" width="11" style="3" customWidth="1"/>
    <col min="7431" max="7431" width="9.125" style="3" customWidth="1"/>
    <col min="7432" max="7432" width="10.375" style="3" customWidth="1"/>
    <col min="7433" max="7433" width="10" style="3" customWidth="1"/>
    <col min="7434" max="7434" width="9.875" style="3" customWidth="1"/>
    <col min="7435" max="7435" width="10.875" style="3" customWidth="1"/>
    <col min="7436" max="7436" width="10.5" style="3" customWidth="1"/>
    <col min="7437" max="7437" width="11" style="3" customWidth="1"/>
    <col min="7438" max="7438" width="9" style="3"/>
    <col min="7439" max="7439" width="10.5" style="3" customWidth="1"/>
    <col min="7440" max="7440" width="9" style="3"/>
    <col min="7441" max="7441" width="19.125" style="3" customWidth="1"/>
    <col min="7442" max="7442" width="14" style="3" customWidth="1"/>
    <col min="7443" max="7443" width="16.75" style="3" customWidth="1"/>
    <col min="7444" max="7680" width="9" style="3"/>
    <col min="7681" max="7681" width="1.875" style="3" customWidth="1"/>
    <col min="7682" max="7682" width="10" style="3" customWidth="1"/>
    <col min="7683" max="7683" width="9.875" style="3" customWidth="1"/>
    <col min="7684" max="7684" width="10.875" style="3" customWidth="1"/>
    <col min="7685" max="7685" width="10.5" style="3" customWidth="1"/>
    <col min="7686" max="7686" width="11" style="3" customWidth="1"/>
    <col min="7687" max="7687" width="9.125" style="3" customWidth="1"/>
    <col min="7688" max="7688" width="10.375" style="3" customWidth="1"/>
    <col min="7689" max="7689" width="10" style="3" customWidth="1"/>
    <col min="7690" max="7690" width="9.875" style="3" customWidth="1"/>
    <col min="7691" max="7691" width="10.875" style="3" customWidth="1"/>
    <col min="7692" max="7692" width="10.5" style="3" customWidth="1"/>
    <col min="7693" max="7693" width="11" style="3" customWidth="1"/>
    <col min="7694" max="7694" width="9" style="3"/>
    <col min="7695" max="7695" width="10.5" style="3" customWidth="1"/>
    <col min="7696" max="7696" width="9" style="3"/>
    <col min="7697" max="7697" width="19.125" style="3" customWidth="1"/>
    <col min="7698" max="7698" width="14" style="3" customWidth="1"/>
    <col min="7699" max="7699" width="16.75" style="3" customWidth="1"/>
    <col min="7700" max="7936" width="9" style="3"/>
    <col min="7937" max="7937" width="1.875" style="3" customWidth="1"/>
    <col min="7938" max="7938" width="10" style="3" customWidth="1"/>
    <col min="7939" max="7939" width="9.875" style="3" customWidth="1"/>
    <col min="7940" max="7940" width="10.875" style="3" customWidth="1"/>
    <col min="7941" max="7941" width="10.5" style="3" customWidth="1"/>
    <col min="7942" max="7942" width="11" style="3" customWidth="1"/>
    <col min="7943" max="7943" width="9.125" style="3" customWidth="1"/>
    <col min="7944" max="7944" width="10.375" style="3" customWidth="1"/>
    <col min="7945" max="7945" width="10" style="3" customWidth="1"/>
    <col min="7946" max="7946" width="9.875" style="3" customWidth="1"/>
    <col min="7947" max="7947" width="10.875" style="3" customWidth="1"/>
    <col min="7948" max="7948" width="10.5" style="3" customWidth="1"/>
    <col min="7949" max="7949" width="11" style="3" customWidth="1"/>
    <col min="7950" max="7950" width="9" style="3"/>
    <col min="7951" max="7951" width="10.5" style="3" customWidth="1"/>
    <col min="7952" max="7952" width="9" style="3"/>
    <col min="7953" max="7953" width="19.125" style="3" customWidth="1"/>
    <col min="7954" max="7954" width="14" style="3" customWidth="1"/>
    <col min="7955" max="7955" width="16.75" style="3" customWidth="1"/>
    <col min="7956" max="8192" width="9" style="3"/>
    <col min="8193" max="8193" width="1.875" style="3" customWidth="1"/>
    <col min="8194" max="8194" width="10" style="3" customWidth="1"/>
    <col min="8195" max="8195" width="9.875" style="3" customWidth="1"/>
    <col min="8196" max="8196" width="10.875" style="3" customWidth="1"/>
    <col min="8197" max="8197" width="10.5" style="3" customWidth="1"/>
    <col min="8198" max="8198" width="11" style="3" customWidth="1"/>
    <col min="8199" max="8199" width="9.125" style="3" customWidth="1"/>
    <col min="8200" max="8200" width="10.375" style="3" customWidth="1"/>
    <col min="8201" max="8201" width="10" style="3" customWidth="1"/>
    <col min="8202" max="8202" width="9.875" style="3" customWidth="1"/>
    <col min="8203" max="8203" width="10.875" style="3" customWidth="1"/>
    <col min="8204" max="8204" width="10.5" style="3" customWidth="1"/>
    <col min="8205" max="8205" width="11" style="3" customWidth="1"/>
    <col min="8206" max="8206" width="9" style="3"/>
    <col min="8207" max="8207" width="10.5" style="3" customWidth="1"/>
    <col min="8208" max="8208" width="9" style="3"/>
    <col min="8209" max="8209" width="19.125" style="3" customWidth="1"/>
    <col min="8210" max="8210" width="14" style="3" customWidth="1"/>
    <col min="8211" max="8211" width="16.75" style="3" customWidth="1"/>
    <col min="8212" max="8448" width="9" style="3"/>
    <col min="8449" max="8449" width="1.875" style="3" customWidth="1"/>
    <col min="8450" max="8450" width="10" style="3" customWidth="1"/>
    <col min="8451" max="8451" width="9.875" style="3" customWidth="1"/>
    <col min="8452" max="8452" width="10.875" style="3" customWidth="1"/>
    <col min="8453" max="8453" width="10.5" style="3" customWidth="1"/>
    <col min="8454" max="8454" width="11" style="3" customWidth="1"/>
    <col min="8455" max="8455" width="9.125" style="3" customWidth="1"/>
    <col min="8456" max="8456" width="10.375" style="3" customWidth="1"/>
    <col min="8457" max="8457" width="10" style="3" customWidth="1"/>
    <col min="8458" max="8458" width="9.875" style="3" customWidth="1"/>
    <col min="8459" max="8459" width="10.875" style="3" customWidth="1"/>
    <col min="8460" max="8460" width="10.5" style="3" customWidth="1"/>
    <col min="8461" max="8461" width="11" style="3" customWidth="1"/>
    <col min="8462" max="8462" width="9" style="3"/>
    <col min="8463" max="8463" width="10.5" style="3" customWidth="1"/>
    <col min="8464" max="8464" width="9" style="3"/>
    <col min="8465" max="8465" width="19.125" style="3" customWidth="1"/>
    <col min="8466" max="8466" width="14" style="3" customWidth="1"/>
    <col min="8467" max="8467" width="16.75" style="3" customWidth="1"/>
    <col min="8468" max="8704" width="9" style="3"/>
    <col min="8705" max="8705" width="1.875" style="3" customWidth="1"/>
    <col min="8706" max="8706" width="10" style="3" customWidth="1"/>
    <col min="8707" max="8707" width="9.875" style="3" customWidth="1"/>
    <col min="8708" max="8708" width="10.875" style="3" customWidth="1"/>
    <col min="8709" max="8709" width="10.5" style="3" customWidth="1"/>
    <col min="8710" max="8710" width="11" style="3" customWidth="1"/>
    <col min="8711" max="8711" width="9.125" style="3" customWidth="1"/>
    <col min="8712" max="8712" width="10.375" style="3" customWidth="1"/>
    <col min="8713" max="8713" width="10" style="3" customWidth="1"/>
    <col min="8714" max="8714" width="9.875" style="3" customWidth="1"/>
    <col min="8715" max="8715" width="10.875" style="3" customWidth="1"/>
    <col min="8716" max="8716" width="10.5" style="3" customWidth="1"/>
    <col min="8717" max="8717" width="11" style="3" customWidth="1"/>
    <col min="8718" max="8718" width="9" style="3"/>
    <col min="8719" max="8719" width="10.5" style="3" customWidth="1"/>
    <col min="8720" max="8720" width="9" style="3"/>
    <col min="8721" max="8721" width="19.125" style="3" customWidth="1"/>
    <col min="8722" max="8722" width="14" style="3" customWidth="1"/>
    <col min="8723" max="8723" width="16.75" style="3" customWidth="1"/>
    <col min="8724" max="8960" width="9" style="3"/>
    <col min="8961" max="8961" width="1.875" style="3" customWidth="1"/>
    <col min="8962" max="8962" width="10" style="3" customWidth="1"/>
    <col min="8963" max="8963" width="9.875" style="3" customWidth="1"/>
    <col min="8964" max="8964" width="10.875" style="3" customWidth="1"/>
    <col min="8965" max="8965" width="10.5" style="3" customWidth="1"/>
    <col min="8966" max="8966" width="11" style="3" customWidth="1"/>
    <col min="8967" max="8967" width="9.125" style="3" customWidth="1"/>
    <col min="8968" max="8968" width="10.375" style="3" customWidth="1"/>
    <col min="8969" max="8969" width="10" style="3" customWidth="1"/>
    <col min="8970" max="8970" width="9.875" style="3" customWidth="1"/>
    <col min="8971" max="8971" width="10.875" style="3" customWidth="1"/>
    <col min="8972" max="8972" width="10.5" style="3" customWidth="1"/>
    <col min="8973" max="8973" width="11" style="3" customWidth="1"/>
    <col min="8974" max="8974" width="9" style="3"/>
    <col min="8975" max="8975" width="10.5" style="3" customWidth="1"/>
    <col min="8976" max="8976" width="9" style="3"/>
    <col min="8977" max="8977" width="19.125" style="3" customWidth="1"/>
    <col min="8978" max="8978" width="14" style="3" customWidth="1"/>
    <col min="8979" max="8979" width="16.75" style="3" customWidth="1"/>
    <col min="8980" max="9216" width="9" style="3"/>
    <col min="9217" max="9217" width="1.875" style="3" customWidth="1"/>
    <col min="9218" max="9218" width="10" style="3" customWidth="1"/>
    <col min="9219" max="9219" width="9.875" style="3" customWidth="1"/>
    <col min="9220" max="9220" width="10.875" style="3" customWidth="1"/>
    <col min="9221" max="9221" width="10.5" style="3" customWidth="1"/>
    <col min="9222" max="9222" width="11" style="3" customWidth="1"/>
    <col min="9223" max="9223" width="9.125" style="3" customWidth="1"/>
    <col min="9224" max="9224" width="10.375" style="3" customWidth="1"/>
    <col min="9225" max="9225" width="10" style="3" customWidth="1"/>
    <col min="9226" max="9226" width="9.875" style="3" customWidth="1"/>
    <col min="9227" max="9227" width="10.875" style="3" customWidth="1"/>
    <col min="9228" max="9228" width="10.5" style="3" customWidth="1"/>
    <col min="9229" max="9229" width="11" style="3" customWidth="1"/>
    <col min="9230" max="9230" width="9" style="3"/>
    <col min="9231" max="9231" width="10.5" style="3" customWidth="1"/>
    <col min="9232" max="9232" width="9" style="3"/>
    <col min="9233" max="9233" width="19.125" style="3" customWidth="1"/>
    <col min="9234" max="9234" width="14" style="3" customWidth="1"/>
    <col min="9235" max="9235" width="16.75" style="3" customWidth="1"/>
    <col min="9236" max="9472" width="9" style="3"/>
    <col min="9473" max="9473" width="1.875" style="3" customWidth="1"/>
    <col min="9474" max="9474" width="10" style="3" customWidth="1"/>
    <col min="9475" max="9475" width="9.875" style="3" customWidth="1"/>
    <col min="9476" max="9476" width="10.875" style="3" customWidth="1"/>
    <col min="9477" max="9477" width="10.5" style="3" customWidth="1"/>
    <col min="9478" max="9478" width="11" style="3" customWidth="1"/>
    <col min="9479" max="9479" width="9.125" style="3" customWidth="1"/>
    <col min="9480" max="9480" width="10.375" style="3" customWidth="1"/>
    <col min="9481" max="9481" width="10" style="3" customWidth="1"/>
    <col min="9482" max="9482" width="9.875" style="3" customWidth="1"/>
    <col min="9483" max="9483" width="10.875" style="3" customWidth="1"/>
    <col min="9484" max="9484" width="10.5" style="3" customWidth="1"/>
    <col min="9485" max="9485" width="11" style="3" customWidth="1"/>
    <col min="9486" max="9486" width="9" style="3"/>
    <col min="9487" max="9487" width="10.5" style="3" customWidth="1"/>
    <col min="9488" max="9488" width="9" style="3"/>
    <col min="9489" max="9489" width="19.125" style="3" customWidth="1"/>
    <col min="9490" max="9490" width="14" style="3" customWidth="1"/>
    <col min="9491" max="9491" width="16.75" style="3" customWidth="1"/>
    <col min="9492" max="9728" width="9" style="3"/>
    <col min="9729" max="9729" width="1.875" style="3" customWidth="1"/>
    <col min="9730" max="9730" width="10" style="3" customWidth="1"/>
    <col min="9731" max="9731" width="9.875" style="3" customWidth="1"/>
    <col min="9732" max="9732" width="10.875" style="3" customWidth="1"/>
    <col min="9733" max="9733" width="10.5" style="3" customWidth="1"/>
    <col min="9734" max="9734" width="11" style="3" customWidth="1"/>
    <col min="9735" max="9735" width="9.125" style="3" customWidth="1"/>
    <col min="9736" max="9736" width="10.375" style="3" customWidth="1"/>
    <col min="9737" max="9737" width="10" style="3" customWidth="1"/>
    <col min="9738" max="9738" width="9.875" style="3" customWidth="1"/>
    <col min="9739" max="9739" width="10.875" style="3" customWidth="1"/>
    <col min="9740" max="9740" width="10.5" style="3" customWidth="1"/>
    <col min="9741" max="9741" width="11" style="3" customWidth="1"/>
    <col min="9742" max="9742" width="9" style="3"/>
    <col min="9743" max="9743" width="10.5" style="3" customWidth="1"/>
    <col min="9744" max="9744" width="9" style="3"/>
    <col min="9745" max="9745" width="19.125" style="3" customWidth="1"/>
    <col min="9746" max="9746" width="14" style="3" customWidth="1"/>
    <col min="9747" max="9747" width="16.75" style="3" customWidth="1"/>
    <col min="9748" max="9984" width="9" style="3"/>
    <col min="9985" max="9985" width="1.875" style="3" customWidth="1"/>
    <col min="9986" max="9986" width="10" style="3" customWidth="1"/>
    <col min="9987" max="9987" width="9.875" style="3" customWidth="1"/>
    <col min="9988" max="9988" width="10.875" style="3" customWidth="1"/>
    <col min="9989" max="9989" width="10.5" style="3" customWidth="1"/>
    <col min="9990" max="9990" width="11" style="3" customWidth="1"/>
    <col min="9991" max="9991" width="9.125" style="3" customWidth="1"/>
    <col min="9992" max="9992" width="10.375" style="3" customWidth="1"/>
    <col min="9993" max="9993" width="10" style="3" customWidth="1"/>
    <col min="9994" max="9994" width="9.875" style="3" customWidth="1"/>
    <col min="9995" max="9995" width="10.875" style="3" customWidth="1"/>
    <col min="9996" max="9996" width="10.5" style="3" customWidth="1"/>
    <col min="9997" max="9997" width="11" style="3" customWidth="1"/>
    <col min="9998" max="9998" width="9" style="3"/>
    <col min="9999" max="9999" width="10.5" style="3" customWidth="1"/>
    <col min="10000" max="10000" width="9" style="3"/>
    <col min="10001" max="10001" width="19.125" style="3" customWidth="1"/>
    <col min="10002" max="10002" width="14" style="3" customWidth="1"/>
    <col min="10003" max="10003" width="16.75" style="3" customWidth="1"/>
    <col min="10004" max="10240" width="9" style="3"/>
    <col min="10241" max="10241" width="1.875" style="3" customWidth="1"/>
    <col min="10242" max="10242" width="10" style="3" customWidth="1"/>
    <col min="10243" max="10243" width="9.875" style="3" customWidth="1"/>
    <col min="10244" max="10244" width="10.875" style="3" customWidth="1"/>
    <col min="10245" max="10245" width="10.5" style="3" customWidth="1"/>
    <col min="10246" max="10246" width="11" style="3" customWidth="1"/>
    <col min="10247" max="10247" width="9.125" style="3" customWidth="1"/>
    <col min="10248" max="10248" width="10.375" style="3" customWidth="1"/>
    <col min="10249" max="10249" width="10" style="3" customWidth="1"/>
    <col min="10250" max="10250" width="9.875" style="3" customWidth="1"/>
    <col min="10251" max="10251" width="10.875" style="3" customWidth="1"/>
    <col min="10252" max="10252" width="10.5" style="3" customWidth="1"/>
    <col min="10253" max="10253" width="11" style="3" customWidth="1"/>
    <col min="10254" max="10254" width="9" style="3"/>
    <col min="10255" max="10255" width="10.5" style="3" customWidth="1"/>
    <col min="10256" max="10256" width="9" style="3"/>
    <col min="10257" max="10257" width="19.125" style="3" customWidth="1"/>
    <col min="10258" max="10258" width="14" style="3" customWidth="1"/>
    <col min="10259" max="10259" width="16.75" style="3" customWidth="1"/>
    <col min="10260" max="10496" width="9" style="3"/>
    <col min="10497" max="10497" width="1.875" style="3" customWidth="1"/>
    <col min="10498" max="10498" width="10" style="3" customWidth="1"/>
    <col min="10499" max="10499" width="9.875" style="3" customWidth="1"/>
    <col min="10500" max="10500" width="10.875" style="3" customWidth="1"/>
    <col min="10501" max="10501" width="10.5" style="3" customWidth="1"/>
    <col min="10502" max="10502" width="11" style="3" customWidth="1"/>
    <col min="10503" max="10503" width="9.125" style="3" customWidth="1"/>
    <col min="10504" max="10504" width="10.375" style="3" customWidth="1"/>
    <col min="10505" max="10505" width="10" style="3" customWidth="1"/>
    <col min="10506" max="10506" width="9.875" style="3" customWidth="1"/>
    <col min="10507" max="10507" width="10.875" style="3" customWidth="1"/>
    <col min="10508" max="10508" width="10.5" style="3" customWidth="1"/>
    <col min="10509" max="10509" width="11" style="3" customWidth="1"/>
    <col min="10510" max="10510" width="9" style="3"/>
    <col min="10511" max="10511" width="10.5" style="3" customWidth="1"/>
    <col min="10512" max="10512" width="9" style="3"/>
    <col min="10513" max="10513" width="19.125" style="3" customWidth="1"/>
    <col min="10514" max="10514" width="14" style="3" customWidth="1"/>
    <col min="10515" max="10515" width="16.75" style="3" customWidth="1"/>
    <col min="10516" max="10752" width="9" style="3"/>
    <col min="10753" max="10753" width="1.875" style="3" customWidth="1"/>
    <col min="10754" max="10754" width="10" style="3" customWidth="1"/>
    <col min="10755" max="10755" width="9.875" style="3" customWidth="1"/>
    <col min="10756" max="10756" width="10.875" style="3" customWidth="1"/>
    <col min="10757" max="10757" width="10.5" style="3" customWidth="1"/>
    <col min="10758" max="10758" width="11" style="3" customWidth="1"/>
    <col min="10759" max="10759" width="9.125" style="3" customWidth="1"/>
    <col min="10760" max="10760" width="10.375" style="3" customWidth="1"/>
    <col min="10761" max="10761" width="10" style="3" customWidth="1"/>
    <col min="10762" max="10762" width="9.875" style="3" customWidth="1"/>
    <col min="10763" max="10763" width="10.875" style="3" customWidth="1"/>
    <col min="10764" max="10764" width="10.5" style="3" customWidth="1"/>
    <col min="10765" max="10765" width="11" style="3" customWidth="1"/>
    <col min="10766" max="10766" width="9" style="3"/>
    <col min="10767" max="10767" width="10.5" style="3" customWidth="1"/>
    <col min="10768" max="10768" width="9" style="3"/>
    <col min="10769" max="10769" width="19.125" style="3" customWidth="1"/>
    <col min="10770" max="10770" width="14" style="3" customWidth="1"/>
    <col min="10771" max="10771" width="16.75" style="3" customWidth="1"/>
    <col min="10772" max="11008" width="9" style="3"/>
    <col min="11009" max="11009" width="1.875" style="3" customWidth="1"/>
    <col min="11010" max="11010" width="10" style="3" customWidth="1"/>
    <col min="11011" max="11011" width="9.875" style="3" customWidth="1"/>
    <col min="11012" max="11012" width="10.875" style="3" customWidth="1"/>
    <col min="11013" max="11013" width="10.5" style="3" customWidth="1"/>
    <col min="11014" max="11014" width="11" style="3" customWidth="1"/>
    <col min="11015" max="11015" width="9.125" style="3" customWidth="1"/>
    <col min="11016" max="11016" width="10.375" style="3" customWidth="1"/>
    <col min="11017" max="11017" width="10" style="3" customWidth="1"/>
    <col min="11018" max="11018" width="9.875" style="3" customWidth="1"/>
    <col min="11019" max="11019" width="10.875" style="3" customWidth="1"/>
    <col min="11020" max="11020" width="10.5" style="3" customWidth="1"/>
    <col min="11021" max="11021" width="11" style="3" customWidth="1"/>
    <col min="11022" max="11022" width="9" style="3"/>
    <col min="11023" max="11023" width="10.5" style="3" customWidth="1"/>
    <col min="11024" max="11024" width="9" style="3"/>
    <col min="11025" max="11025" width="19.125" style="3" customWidth="1"/>
    <col min="11026" max="11026" width="14" style="3" customWidth="1"/>
    <col min="11027" max="11027" width="16.75" style="3" customWidth="1"/>
    <col min="11028" max="11264" width="9" style="3"/>
    <col min="11265" max="11265" width="1.875" style="3" customWidth="1"/>
    <col min="11266" max="11266" width="10" style="3" customWidth="1"/>
    <col min="11267" max="11267" width="9.875" style="3" customWidth="1"/>
    <col min="11268" max="11268" width="10.875" style="3" customWidth="1"/>
    <col min="11269" max="11269" width="10.5" style="3" customWidth="1"/>
    <col min="11270" max="11270" width="11" style="3" customWidth="1"/>
    <col min="11271" max="11271" width="9.125" style="3" customWidth="1"/>
    <col min="11272" max="11272" width="10.375" style="3" customWidth="1"/>
    <col min="11273" max="11273" width="10" style="3" customWidth="1"/>
    <col min="11274" max="11274" width="9.875" style="3" customWidth="1"/>
    <col min="11275" max="11275" width="10.875" style="3" customWidth="1"/>
    <col min="11276" max="11276" width="10.5" style="3" customWidth="1"/>
    <col min="11277" max="11277" width="11" style="3" customWidth="1"/>
    <col min="11278" max="11278" width="9" style="3"/>
    <col min="11279" max="11279" width="10.5" style="3" customWidth="1"/>
    <col min="11280" max="11280" width="9" style="3"/>
    <col min="11281" max="11281" width="19.125" style="3" customWidth="1"/>
    <col min="11282" max="11282" width="14" style="3" customWidth="1"/>
    <col min="11283" max="11283" width="16.75" style="3" customWidth="1"/>
    <col min="11284" max="11520" width="9" style="3"/>
    <col min="11521" max="11521" width="1.875" style="3" customWidth="1"/>
    <col min="11522" max="11522" width="10" style="3" customWidth="1"/>
    <col min="11523" max="11523" width="9.875" style="3" customWidth="1"/>
    <col min="11524" max="11524" width="10.875" style="3" customWidth="1"/>
    <col min="11525" max="11525" width="10.5" style="3" customWidth="1"/>
    <col min="11526" max="11526" width="11" style="3" customWidth="1"/>
    <col min="11527" max="11527" width="9.125" style="3" customWidth="1"/>
    <col min="11528" max="11528" width="10.375" style="3" customWidth="1"/>
    <col min="11529" max="11529" width="10" style="3" customWidth="1"/>
    <col min="11530" max="11530" width="9.875" style="3" customWidth="1"/>
    <col min="11531" max="11531" width="10.875" style="3" customWidth="1"/>
    <col min="11532" max="11532" width="10.5" style="3" customWidth="1"/>
    <col min="11533" max="11533" width="11" style="3" customWidth="1"/>
    <col min="11534" max="11534" width="9" style="3"/>
    <col min="11535" max="11535" width="10.5" style="3" customWidth="1"/>
    <col min="11536" max="11536" width="9" style="3"/>
    <col min="11537" max="11537" width="19.125" style="3" customWidth="1"/>
    <col min="11538" max="11538" width="14" style="3" customWidth="1"/>
    <col min="11539" max="11539" width="16.75" style="3" customWidth="1"/>
    <col min="11540" max="11776" width="9" style="3"/>
    <col min="11777" max="11777" width="1.875" style="3" customWidth="1"/>
    <col min="11778" max="11778" width="10" style="3" customWidth="1"/>
    <col min="11779" max="11779" width="9.875" style="3" customWidth="1"/>
    <col min="11780" max="11780" width="10.875" style="3" customWidth="1"/>
    <col min="11781" max="11781" width="10.5" style="3" customWidth="1"/>
    <col min="11782" max="11782" width="11" style="3" customWidth="1"/>
    <col min="11783" max="11783" width="9.125" style="3" customWidth="1"/>
    <col min="11784" max="11784" width="10.375" style="3" customWidth="1"/>
    <col min="11785" max="11785" width="10" style="3" customWidth="1"/>
    <col min="11786" max="11786" width="9.875" style="3" customWidth="1"/>
    <col min="11787" max="11787" width="10.875" style="3" customWidth="1"/>
    <col min="11788" max="11788" width="10.5" style="3" customWidth="1"/>
    <col min="11789" max="11789" width="11" style="3" customWidth="1"/>
    <col min="11790" max="11790" width="9" style="3"/>
    <col min="11791" max="11791" width="10.5" style="3" customWidth="1"/>
    <col min="11792" max="11792" width="9" style="3"/>
    <col min="11793" max="11793" width="19.125" style="3" customWidth="1"/>
    <col min="11794" max="11794" width="14" style="3" customWidth="1"/>
    <col min="11795" max="11795" width="16.75" style="3" customWidth="1"/>
    <col min="11796" max="12032" width="9" style="3"/>
    <col min="12033" max="12033" width="1.875" style="3" customWidth="1"/>
    <col min="12034" max="12034" width="10" style="3" customWidth="1"/>
    <col min="12035" max="12035" width="9.875" style="3" customWidth="1"/>
    <col min="12036" max="12036" width="10.875" style="3" customWidth="1"/>
    <col min="12037" max="12037" width="10.5" style="3" customWidth="1"/>
    <col min="12038" max="12038" width="11" style="3" customWidth="1"/>
    <col min="12039" max="12039" width="9.125" style="3" customWidth="1"/>
    <col min="12040" max="12040" width="10.375" style="3" customWidth="1"/>
    <col min="12041" max="12041" width="10" style="3" customWidth="1"/>
    <col min="12042" max="12042" width="9.875" style="3" customWidth="1"/>
    <col min="12043" max="12043" width="10.875" style="3" customWidth="1"/>
    <col min="12044" max="12044" width="10.5" style="3" customWidth="1"/>
    <col min="12045" max="12045" width="11" style="3" customWidth="1"/>
    <col min="12046" max="12046" width="9" style="3"/>
    <col min="12047" max="12047" width="10.5" style="3" customWidth="1"/>
    <col min="12048" max="12048" width="9" style="3"/>
    <col min="12049" max="12049" width="19.125" style="3" customWidth="1"/>
    <col min="12050" max="12050" width="14" style="3" customWidth="1"/>
    <col min="12051" max="12051" width="16.75" style="3" customWidth="1"/>
    <col min="12052" max="12288" width="9" style="3"/>
    <col min="12289" max="12289" width="1.875" style="3" customWidth="1"/>
    <col min="12290" max="12290" width="10" style="3" customWidth="1"/>
    <col min="12291" max="12291" width="9.875" style="3" customWidth="1"/>
    <col min="12292" max="12292" width="10.875" style="3" customWidth="1"/>
    <col min="12293" max="12293" width="10.5" style="3" customWidth="1"/>
    <col min="12294" max="12294" width="11" style="3" customWidth="1"/>
    <col min="12295" max="12295" width="9.125" style="3" customWidth="1"/>
    <col min="12296" max="12296" width="10.375" style="3" customWidth="1"/>
    <col min="12297" max="12297" width="10" style="3" customWidth="1"/>
    <col min="12298" max="12298" width="9.875" style="3" customWidth="1"/>
    <col min="12299" max="12299" width="10.875" style="3" customWidth="1"/>
    <col min="12300" max="12300" width="10.5" style="3" customWidth="1"/>
    <col min="12301" max="12301" width="11" style="3" customWidth="1"/>
    <col min="12302" max="12302" width="9" style="3"/>
    <col min="12303" max="12303" width="10.5" style="3" customWidth="1"/>
    <col min="12304" max="12304" width="9" style="3"/>
    <col min="12305" max="12305" width="19.125" style="3" customWidth="1"/>
    <col min="12306" max="12306" width="14" style="3" customWidth="1"/>
    <col min="12307" max="12307" width="16.75" style="3" customWidth="1"/>
    <col min="12308" max="12544" width="9" style="3"/>
    <col min="12545" max="12545" width="1.875" style="3" customWidth="1"/>
    <col min="12546" max="12546" width="10" style="3" customWidth="1"/>
    <col min="12547" max="12547" width="9.875" style="3" customWidth="1"/>
    <col min="12548" max="12548" width="10.875" style="3" customWidth="1"/>
    <col min="12549" max="12549" width="10.5" style="3" customWidth="1"/>
    <col min="12550" max="12550" width="11" style="3" customWidth="1"/>
    <col min="12551" max="12551" width="9.125" style="3" customWidth="1"/>
    <col min="12552" max="12552" width="10.375" style="3" customWidth="1"/>
    <col min="12553" max="12553" width="10" style="3" customWidth="1"/>
    <col min="12554" max="12554" width="9.875" style="3" customWidth="1"/>
    <col min="12555" max="12555" width="10.875" style="3" customWidth="1"/>
    <col min="12556" max="12556" width="10.5" style="3" customWidth="1"/>
    <col min="12557" max="12557" width="11" style="3" customWidth="1"/>
    <col min="12558" max="12558" width="9" style="3"/>
    <col min="12559" max="12559" width="10.5" style="3" customWidth="1"/>
    <col min="12560" max="12560" width="9" style="3"/>
    <col min="12561" max="12561" width="19.125" style="3" customWidth="1"/>
    <col min="12562" max="12562" width="14" style="3" customWidth="1"/>
    <col min="12563" max="12563" width="16.75" style="3" customWidth="1"/>
    <col min="12564" max="12800" width="9" style="3"/>
    <col min="12801" max="12801" width="1.875" style="3" customWidth="1"/>
    <col min="12802" max="12802" width="10" style="3" customWidth="1"/>
    <col min="12803" max="12803" width="9.875" style="3" customWidth="1"/>
    <col min="12804" max="12804" width="10.875" style="3" customWidth="1"/>
    <col min="12805" max="12805" width="10.5" style="3" customWidth="1"/>
    <col min="12806" max="12806" width="11" style="3" customWidth="1"/>
    <col min="12807" max="12807" width="9.125" style="3" customWidth="1"/>
    <col min="12808" max="12808" width="10.375" style="3" customWidth="1"/>
    <col min="12809" max="12809" width="10" style="3" customWidth="1"/>
    <col min="12810" max="12810" width="9.875" style="3" customWidth="1"/>
    <col min="12811" max="12811" width="10.875" style="3" customWidth="1"/>
    <col min="12812" max="12812" width="10.5" style="3" customWidth="1"/>
    <col min="12813" max="12813" width="11" style="3" customWidth="1"/>
    <col min="12814" max="12814" width="9" style="3"/>
    <col min="12815" max="12815" width="10.5" style="3" customWidth="1"/>
    <col min="12816" max="12816" width="9" style="3"/>
    <col min="12817" max="12817" width="19.125" style="3" customWidth="1"/>
    <col min="12818" max="12818" width="14" style="3" customWidth="1"/>
    <col min="12819" max="12819" width="16.75" style="3" customWidth="1"/>
    <col min="12820" max="13056" width="9" style="3"/>
    <col min="13057" max="13057" width="1.875" style="3" customWidth="1"/>
    <col min="13058" max="13058" width="10" style="3" customWidth="1"/>
    <col min="13059" max="13059" width="9.875" style="3" customWidth="1"/>
    <col min="13060" max="13060" width="10.875" style="3" customWidth="1"/>
    <col min="13061" max="13061" width="10.5" style="3" customWidth="1"/>
    <col min="13062" max="13062" width="11" style="3" customWidth="1"/>
    <col min="13063" max="13063" width="9.125" style="3" customWidth="1"/>
    <col min="13064" max="13064" width="10.375" style="3" customWidth="1"/>
    <col min="13065" max="13065" width="10" style="3" customWidth="1"/>
    <col min="13066" max="13066" width="9.875" style="3" customWidth="1"/>
    <col min="13067" max="13067" width="10.875" style="3" customWidth="1"/>
    <col min="13068" max="13068" width="10.5" style="3" customWidth="1"/>
    <col min="13069" max="13069" width="11" style="3" customWidth="1"/>
    <col min="13070" max="13070" width="9" style="3"/>
    <col min="13071" max="13071" width="10.5" style="3" customWidth="1"/>
    <col min="13072" max="13072" width="9" style="3"/>
    <col min="13073" max="13073" width="19.125" style="3" customWidth="1"/>
    <col min="13074" max="13074" width="14" style="3" customWidth="1"/>
    <col min="13075" max="13075" width="16.75" style="3" customWidth="1"/>
    <col min="13076" max="13312" width="9" style="3"/>
    <col min="13313" max="13313" width="1.875" style="3" customWidth="1"/>
    <col min="13314" max="13314" width="10" style="3" customWidth="1"/>
    <col min="13315" max="13315" width="9.875" style="3" customWidth="1"/>
    <col min="13316" max="13316" width="10.875" style="3" customWidth="1"/>
    <col min="13317" max="13317" width="10.5" style="3" customWidth="1"/>
    <col min="13318" max="13318" width="11" style="3" customWidth="1"/>
    <col min="13319" max="13319" width="9.125" style="3" customWidth="1"/>
    <col min="13320" max="13320" width="10.375" style="3" customWidth="1"/>
    <col min="13321" max="13321" width="10" style="3" customWidth="1"/>
    <col min="13322" max="13322" width="9.875" style="3" customWidth="1"/>
    <col min="13323" max="13323" width="10.875" style="3" customWidth="1"/>
    <col min="13324" max="13324" width="10.5" style="3" customWidth="1"/>
    <col min="13325" max="13325" width="11" style="3" customWidth="1"/>
    <col min="13326" max="13326" width="9" style="3"/>
    <col min="13327" max="13327" width="10.5" style="3" customWidth="1"/>
    <col min="13328" max="13328" width="9" style="3"/>
    <col min="13329" max="13329" width="19.125" style="3" customWidth="1"/>
    <col min="13330" max="13330" width="14" style="3" customWidth="1"/>
    <col min="13331" max="13331" width="16.75" style="3" customWidth="1"/>
    <col min="13332" max="13568" width="9" style="3"/>
    <col min="13569" max="13569" width="1.875" style="3" customWidth="1"/>
    <col min="13570" max="13570" width="10" style="3" customWidth="1"/>
    <col min="13571" max="13571" width="9.875" style="3" customWidth="1"/>
    <col min="13572" max="13572" width="10.875" style="3" customWidth="1"/>
    <col min="13573" max="13573" width="10.5" style="3" customWidth="1"/>
    <col min="13574" max="13574" width="11" style="3" customWidth="1"/>
    <col min="13575" max="13575" width="9.125" style="3" customWidth="1"/>
    <col min="13576" max="13576" width="10.375" style="3" customWidth="1"/>
    <col min="13577" max="13577" width="10" style="3" customWidth="1"/>
    <col min="13578" max="13578" width="9.875" style="3" customWidth="1"/>
    <col min="13579" max="13579" width="10.875" style="3" customWidth="1"/>
    <col min="13580" max="13580" width="10.5" style="3" customWidth="1"/>
    <col min="13581" max="13581" width="11" style="3" customWidth="1"/>
    <col min="13582" max="13582" width="9" style="3"/>
    <col min="13583" max="13583" width="10.5" style="3" customWidth="1"/>
    <col min="13584" max="13584" width="9" style="3"/>
    <col min="13585" max="13585" width="19.125" style="3" customWidth="1"/>
    <col min="13586" max="13586" width="14" style="3" customWidth="1"/>
    <col min="13587" max="13587" width="16.75" style="3" customWidth="1"/>
    <col min="13588" max="13824" width="9" style="3"/>
    <col min="13825" max="13825" width="1.875" style="3" customWidth="1"/>
    <col min="13826" max="13826" width="10" style="3" customWidth="1"/>
    <col min="13827" max="13827" width="9.875" style="3" customWidth="1"/>
    <col min="13828" max="13828" width="10.875" style="3" customWidth="1"/>
    <col min="13829" max="13829" width="10.5" style="3" customWidth="1"/>
    <col min="13830" max="13830" width="11" style="3" customWidth="1"/>
    <col min="13831" max="13831" width="9.125" style="3" customWidth="1"/>
    <col min="13832" max="13832" width="10.375" style="3" customWidth="1"/>
    <col min="13833" max="13833" width="10" style="3" customWidth="1"/>
    <col min="13834" max="13834" width="9.875" style="3" customWidth="1"/>
    <col min="13835" max="13835" width="10.875" style="3" customWidth="1"/>
    <col min="13836" max="13836" width="10.5" style="3" customWidth="1"/>
    <col min="13837" max="13837" width="11" style="3" customWidth="1"/>
    <col min="13838" max="13838" width="9" style="3"/>
    <col min="13839" max="13839" width="10.5" style="3" customWidth="1"/>
    <col min="13840" max="13840" width="9" style="3"/>
    <col min="13841" max="13841" width="19.125" style="3" customWidth="1"/>
    <col min="13842" max="13842" width="14" style="3" customWidth="1"/>
    <col min="13843" max="13843" width="16.75" style="3" customWidth="1"/>
    <col min="13844" max="14080" width="9" style="3"/>
    <col min="14081" max="14081" width="1.875" style="3" customWidth="1"/>
    <col min="14082" max="14082" width="10" style="3" customWidth="1"/>
    <col min="14083" max="14083" width="9.875" style="3" customWidth="1"/>
    <col min="14084" max="14084" width="10.875" style="3" customWidth="1"/>
    <col min="14085" max="14085" width="10.5" style="3" customWidth="1"/>
    <col min="14086" max="14086" width="11" style="3" customWidth="1"/>
    <col min="14087" max="14087" width="9.125" style="3" customWidth="1"/>
    <col min="14088" max="14088" width="10.375" style="3" customWidth="1"/>
    <col min="14089" max="14089" width="10" style="3" customWidth="1"/>
    <col min="14090" max="14090" width="9.875" style="3" customWidth="1"/>
    <col min="14091" max="14091" width="10.875" style="3" customWidth="1"/>
    <col min="14092" max="14092" width="10.5" style="3" customWidth="1"/>
    <col min="14093" max="14093" width="11" style="3" customWidth="1"/>
    <col min="14094" max="14094" width="9" style="3"/>
    <col min="14095" max="14095" width="10.5" style="3" customWidth="1"/>
    <col min="14096" max="14096" width="9" style="3"/>
    <col min="14097" max="14097" width="19.125" style="3" customWidth="1"/>
    <col min="14098" max="14098" width="14" style="3" customWidth="1"/>
    <col min="14099" max="14099" width="16.75" style="3" customWidth="1"/>
    <col min="14100" max="14336" width="9" style="3"/>
    <col min="14337" max="14337" width="1.875" style="3" customWidth="1"/>
    <col min="14338" max="14338" width="10" style="3" customWidth="1"/>
    <col min="14339" max="14339" width="9.875" style="3" customWidth="1"/>
    <col min="14340" max="14340" width="10.875" style="3" customWidth="1"/>
    <col min="14341" max="14341" width="10.5" style="3" customWidth="1"/>
    <col min="14342" max="14342" width="11" style="3" customWidth="1"/>
    <col min="14343" max="14343" width="9.125" style="3" customWidth="1"/>
    <col min="14344" max="14344" width="10.375" style="3" customWidth="1"/>
    <col min="14345" max="14345" width="10" style="3" customWidth="1"/>
    <col min="14346" max="14346" width="9.875" style="3" customWidth="1"/>
    <col min="14347" max="14347" width="10.875" style="3" customWidth="1"/>
    <col min="14348" max="14348" width="10.5" style="3" customWidth="1"/>
    <col min="14349" max="14349" width="11" style="3" customWidth="1"/>
    <col min="14350" max="14350" width="9" style="3"/>
    <col min="14351" max="14351" width="10.5" style="3" customWidth="1"/>
    <col min="14352" max="14352" width="9" style="3"/>
    <col min="14353" max="14353" width="19.125" style="3" customWidth="1"/>
    <col min="14354" max="14354" width="14" style="3" customWidth="1"/>
    <col min="14355" max="14355" width="16.75" style="3" customWidth="1"/>
    <col min="14356" max="14592" width="9" style="3"/>
    <col min="14593" max="14593" width="1.875" style="3" customWidth="1"/>
    <col min="14594" max="14594" width="10" style="3" customWidth="1"/>
    <col min="14595" max="14595" width="9.875" style="3" customWidth="1"/>
    <col min="14596" max="14596" width="10.875" style="3" customWidth="1"/>
    <col min="14597" max="14597" width="10.5" style="3" customWidth="1"/>
    <col min="14598" max="14598" width="11" style="3" customWidth="1"/>
    <col min="14599" max="14599" width="9.125" style="3" customWidth="1"/>
    <col min="14600" max="14600" width="10.375" style="3" customWidth="1"/>
    <col min="14601" max="14601" width="10" style="3" customWidth="1"/>
    <col min="14602" max="14602" width="9.875" style="3" customWidth="1"/>
    <col min="14603" max="14603" width="10.875" style="3" customWidth="1"/>
    <col min="14604" max="14604" width="10.5" style="3" customWidth="1"/>
    <col min="14605" max="14605" width="11" style="3" customWidth="1"/>
    <col min="14606" max="14606" width="9" style="3"/>
    <col min="14607" max="14607" width="10.5" style="3" customWidth="1"/>
    <col min="14608" max="14608" width="9" style="3"/>
    <col min="14609" max="14609" width="19.125" style="3" customWidth="1"/>
    <col min="14610" max="14610" width="14" style="3" customWidth="1"/>
    <col min="14611" max="14611" width="16.75" style="3" customWidth="1"/>
    <col min="14612" max="14848" width="9" style="3"/>
    <col min="14849" max="14849" width="1.875" style="3" customWidth="1"/>
    <col min="14850" max="14850" width="10" style="3" customWidth="1"/>
    <col min="14851" max="14851" width="9.875" style="3" customWidth="1"/>
    <col min="14852" max="14852" width="10.875" style="3" customWidth="1"/>
    <col min="14853" max="14853" width="10.5" style="3" customWidth="1"/>
    <col min="14854" max="14854" width="11" style="3" customWidth="1"/>
    <col min="14855" max="14855" width="9.125" style="3" customWidth="1"/>
    <col min="14856" max="14856" width="10.375" style="3" customWidth="1"/>
    <col min="14857" max="14857" width="10" style="3" customWidth="1"/>
    <col min="14858" max="14858" width="9.875" style="3" customWidth="1"/>
    <col min="14859" max="14859" width="10.875" style="3" customWidth="1"/>
    <col min="14860" max="14860" width="10.5" style="3" customWidth="1"/>
    <col min="14861" max="14861" width="11" style="3" customWidth="1"/>
    <col min="14862" max="14862" width="9" style="3"/>
    <col min="14863" max="14863" width="10.5" style="3" customWidth="1"/>
    <col min="14864" max="14864" width="9" style="3"/>
    <col min="14865" max="14865" width="19.125" style="3" customWidth="1"/>
    <col min="14866" max="14866" width="14" style="3" customWidth="1"/>
    <col min="14867" max="14867" width="16.75" style="3" customWidth="1"/>
    <col min="14868" max="15104" width="9" style="3"/>
    <col min="15105" max="15105" width="1.875" style="3" customWidth="1"/>
    <col min="15106" max="15106" width="10" style="3" customWidth="1"/>
    <col min="15107" max="15107" width="9.875" style="3" customWidth="1"/>
    <col min="15108" max="15108" width="10.875" style="3" customWidth="1"/>
    <col min="15109" max="15109" width="10.5" style="3" customWidth="1"/>
    <col min="15110" max="15110" width="11" style="3" customWidth="1"/>
    <col min="15111" max="15111" width="9.125" style="3" customWidth="1"/>
    <col min="15112" max="15112" width="10.375" style="3" customWidth="1"/>
    <col min="15113" max="15113" width="10" style="3" customWidth="1"/>
    <col min="15114" max="15114" width="9.875" style="3" customWidth="1"/>
    <col min="15115" max="15115" width="10.875" style="3" customWidth="1"/>
    <col min="15116" max="15116" width="10.5" style="3" customWidth="1"/>
    <col min="15117" max="15117" width="11" style="3" customWidth="1"/>
    <col min="15118" max="15118" width="9" style="3"/>
    <col min="15119" max="15119" width="10.5" style="3" customWidth="1"/>
    <col min="15120" max="15120" width="9" style="3"/>
    <col min="15121" max="15121" width="19.125" style="3" customWidth="1"/>
    <col min="15122" max="15122" width="14" style="3" customWidth="1"/>
    <col min="15123" max="15123" width="16.75" style="3" customWidth="1"/>
    <col min="15124" max="15360" width="9" style="3"/>
    <col min="15361" max="15361" width="1.875" style="3" customWidth="1"/>
    <col min="15362" max="15362" width="10" style="3" customWidth="1"/>
    <col min="15363" max="15363" width="9.875" style="3" customWidth="1"/>
    <col min="15364" max="15364" width="10.875" style="3" customWidth="1"/>
    <col min="15365" max="15365" width="10.5" style="3" customWidth="1"/>
    <col min="15366" max="15366" width="11" style="3" customWidth="1"/>
    <col min="15367" max="15367" width="9.125" style="3" customWidth="1"/>
    <col min="15368" max="15368" width="10.375" style="3" customWidth="1"/>
    <col min="15369" max="15369" width="10" style="3" customWidth="1"/>
    <col min="15370" max="15370" width="9.875" style="3" customWidth="1"/>
    <col min="15371" max="15371" width="10.875" style="3" customWidth="1"/>
    <col min="15372" max="15372" width="10.5" style="3" customWidth="1"/>
    <col min="15373" max="15373" width="11" style="3" customWidth="1"/>
    <col min="15374" max="15374" width="9" style="3"/>
    <col min="15375" max="15375" width="10.5" style="3" customWidth="1"/>
    <col min="15376" max="15376" width="9" style="3"/>
    <col min="15377" max="15377" width="19.125" style="3" customWidth="1"/>
    <col min="15378" max="15378" width="14" style="3" customWidth="1"/>
    <col min="15379" max="15379" width="16.75" style="3" customWidth="1"/>
    <col min="15380" max="15616" width="9" style="3"/>
    <col min="15617" max="15617" width="1.875" style="3" customWidth="1"/>
    <col min="15618" max="15618" width="10" style="3" customWidth="1"/>
    <col min="15619" max="15619" width="9.875" style="3" customWidth="1"/>
    <col min="15620" max="15620" width="10.875" style="3" customWidth="1"/>
    <col min="15621" max="15621" width="10.5" style="3" customWidth="1"/>
    <col min="15622" max="15622" width="11" style="3" customWidth="1"/>
    <col min="15623" max="15623" width="9.125" style="3" customWidth="1"/>
    <col min="15624" max="15624" width="10.375" style="3" customWidth="1"/>
    <col min="15625" max="15625" width="10" style="3" customWidth="1"/>
    <col min="15626" max="15626" width="9.875" style="3" customWidth="1"/>
    <col min="15627" max="15627" width="10.875" style="3" customWidth="1"/>
    <col min="15628" max="15628" width="10.5" style="3" customWidth="1"/>
    <col min="15629" max="15629" width="11" style="3" customWidth="1"/>
    <col min="15630" max="15630" width="9" style="3"/>
    <col min="15631" max="15631" width="10.5" style="3" customWidth="1"/>
    <col min="15632" max="15632" width="9" style="3"/>
    <col min="15633" max="15633" width="19.125" style="3" customWidth="1"/>
    <col min="15634" max="15634" width="14" style="3" customWidth="1"/>
    <col min="15635" max="15635" width="16.75" style="3" customWidth="1"/>
    <col min="15636" max="15872" width="9" style="3"/>
    <col min="15873" max="15873" width="1.875" style="3" customWidth="1"/>
    <col min="15874" max="15874" width="10" style="3" customWidth="1"/>
    <col min="15875" max="15875" width="9.875" style="3" customWidth="1"/>
    <col min="15876" max="15876" width="10.875" style="3" customWidth="1"/>
    <col min="15877" max="15877" width="10.5" style="3" customWidth="1"/>
    <col min="15878" max="15878" width="11" style="3" customWidth="1"/>
    <col min="15879" max="15879" width="9.125" style="3" customWidth="1"/>
    <col min="15880" max="15880" width="10.375" style="3" customWidth="1"/>
    <col min="15881" max="15881" width="10" style="3" customWidth="1"/>
    <col min="15882" max="15882" width="9.875" style="3" customWidth="1"/>
    <col min="15883" max="15883" width="10.875" style="3" customWidth="1"/>
    <col min="15884" max="15884" width="10.5" style="3" customWidth="1"/>
    <col min="15885" max="15885" width="11" style="3" customWidth="1"/>
    <col min="15886" max="15886" width="9" style="3"/>
    <col min="15887" max="15887" width="10.5" style="3" customWidth="1"/>
    <col min="15888" max="15888" width="9" style="3"/>
    <col min="15889" max="15889" width="19.125" style="3" customWidth="1"/>
    <col min="15890" max="15890" width="14" style="3" customWidth="1"/>
    <col min="15891" max="15891" width="16.75" style="3" customWidth="1"/>
    <col min="15892" max="16128" width="9" style="3"/>
    <col min="16129" max="16129" width="1.875" style="3" customWidth="1"/>
    <col min="16130" max="16130" width="10" style="3" customWidth="1"/>
    <col min="16131" max="16131" width="9.875" style="3" customWidth="1"/>
    <col min="16132" max="16132" width="10.875" style="3" customWidth="1"/>
    <col min="16133" max="16133" width="10.5" style="3" customWidth="1"/>
    <col min="16134" max="16134" width="11" style="3" customWidth="1"/>
    <col min="16135" max="16135" width="9.125" style="3" customWidth="1"/>
    <col min="16136" max="16136" width="10.375" style="3" customWidth="1"/>
    <col min="16137" max="16137" width="10" style="3" customWidth="1"/>
    <col min="16138" max="16138" width="9.875" style="3" customWidth="1"/>
    <col min="16139" max="16139" width="10.875" style="3" customWidth="1"/>
    <col min="16140" max="16140" width="10.5" style="3" customWidth="1"/>
    <col min="16141" max="16141" width="11" style="3" customWidth="1"/>
    <col min="16142" max="16142" width="9" style="3"/>
    <col min="16143" max="16143" width="10.5" style="3" customWidth="1"/>
    <col min="16144" max="16144" width="9" style="3"/>
    <col min="16145" max="16145" width="19.125" style="3" customWidth="1"/>
    <col min="16146" max="16146" width="14" style="3" customWidth="1"/>
    <col min="16147" max="16147" width="16.75" style="3" customWidth="1"/>
    <col min="16148" max="16384" width="9" style="3"/>
  </cols>
  <sheetData>
    <row r="1" spans="1:23" ht="32.450000000000003" customHeight="1">
      <c r="B1" s="188" t="s">
        <v>0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</row>
    <row r="2" spans="1:23" ht="27" customHeight="1" thickBot="1">
      <c r="H2" s="6"/>
      <c r="L2" s="190" t="s">
        <v>196</v>
      </c>
      <c r="M2" s="190"/>
      <c r="N2" s="190"/>
      <c r="O2" s="190"/>
    </row>
    <row r="3" spans="1:23" s="1" customFormat="1" ht="53.25" customHeight="1" thickTop="1" thickBot="1">
      <c r="B3" s="7" t="s">
        <v>1</v>
      </c>
      <c r="C3" s="8" t="s">
        <v>2</v>
      </c>
      <c r="D3" s="9" t="s">
        <v>3</v>
      </c>
      <c r="E3" s="9" t="s">
        <v>4</v>
      </c>
      <c r="F3" s="9" t="s">
        <v>5</v>
      </c>
      <c r="G3" s="10" t="s">
        <v>6</v>
      </c>
      <c r="H3" s="11" t="s">
        <v>7</v>
      </c>
      <c r="I3" s="40" t="s">
        <v>1</v>
      </c>
      <c r="J3" s="11" t="s">
        <v>2</v>
      </c>
      <c r="K3" s="41" t="s">
        <v>3</v>
      </c>
      <c r="L3" s="164" t="s">
        <v>4</v>
      </c>
      <c r="M3" s="164" t="s">
        <v>5</v>
      </c>
      <c r="N3" s="165" t="s">
        <v>6</v>
      </c>
      <c r="O3" s="42" t="s">
        <v>7</v>
      </c>
      <c r="R3" s="63" t="s">
        <v>8</v>
      </c>
    </row>
    <row r="4" spans="1:23" ht="35.1" customHeight="1">
      <c r="A4" s="3" t="s">
        <v>8</v>
      </c>
      <c r="B4" s="12" t="s">
        <v>80</v>
      </c>
      <c r="C4" s="13" t="s">
        <v>81</v>
      </c>
      <c r="D4" s="14" t="s">
        <v>82</v>
      </c>
      <c r="E4" s="15">
        <f>1800/30*G4</f>
        <v>1800</v>
      </c>
      <c r="F4" s="16">
        <f t="shared" ref="F4:F22" si="0">E4+300</f>
        <v>2100</v>
      </c>
      <c r="G4" s="17">
        <v>30</v>
      </c>
      <c r="H4" s="18" t="str">
        <f>IF(G4&lt;30,"V"," ")</f>
        <v xml:space="preserve"> </v>
      </c>
      <c r="I4" s="43"/>
      <c r="J4" s="166" t="s">
        <v>177</v>
      </c>
      <c r="K4" s="141" t="s">
        <v>175</v>
      </c>
      <c r="L4" s="15">
        <f>1800/30*N4</f>
        <v>1080</v>
      </c>
      <c r="M4" s="16">
        <f>L4+300</f>
        <v>1380</v>
      </c>
      <c r="N4" s="17">
        <v>18</v>
      </c>
      <c r="O4" s="18" t="str">
        <f>IF(N4&lt;30,"V"," ")</f>
        <v>V</v>
      </c>
    </row>
    <row r="5" spans="1:23" ht="35.1" customHeight="1">
      <c r="B5" s="19"/>
      <c r="C5" s="20" t="s">
        <v>85</v>
      </c>
      <c r="D5" s="21" t="s">
        <v>86</v>
      </c>
      <c r="E5" s="15">
        <f t="shared" ref="E5:E23" si="1">1800/30*G5</f>
        <v>1800</v>
      </c>
      <c r="F5" s="22">
        <f t="shared" si="0"/>
        <v>2100</v>
      </c>
      <c r="G5" s="23">
        <v>30</v>
      </c>
      <c r="H5" s="18" t="str">
        <f t="shared" ref="H5:H24" si="2">IF(G5&lt;30,"V"," ")</f>
        <v xml:space="preserve"> </v>
      </c>
      <c r="I5" s="43"/>
      <c r="J5" s="166" t="s">
        <v>178</v>
      </c>
      <c r="K5" s="141" t="s">
        <v>176</v>
      </c>
      <c r="L5" s="15">
        <f>1800/30*N5</f>
        <v>1080</v>
      </c>
      <c r="M5" s="16">
        <f>L5+300</f>
        <v>1380</v>
      </c>
      <c r="N5" s="17">
        <v>18</v>
      </c>
      <c r="O5" s="18" t="str">
        <f>IF(N5&lt;30,"V"," ")</f>
        <v>V</v>
      </c>
      <c r="R5" s="64"/>
    </row>
    <row r="6" spans="1:23" ht="35.1" customHeight="1" thickBot="1">
      <c r="B6" s="25"/>
      <c r="C6" s="26" t="s">
        <v>91</v>
      </c>
      <c r="D6" s="21" t="s">
        <v>92</v>
      </c>
      <c r="E6" s="15">
        <f t="shared" si="1"/>
        <v>1800</v>
      </c>
      <c r="F6" s="22">
        <f t="shared" si="0"/>
        <v>2100</v>
      </c>
      <c r="G6" s="23">
        <v>30</v>
      </c>
      <c r="H6" s="31" t="str">
        <f t="shared" si="2"/>
        <v xml:space="preserve"> </v>
      </c>
      <c r="I6" s="43"/>
      <c r="J6" s="44"/>
      <c r="K6" s="45"/>
      <c r="L6" s="45"/>
      <c r="M6" s="45"/>
      <c r="N6" s="45"/>
      <c r="O6" s="31" t="str">
        <f>IF(G17&lt;30,"V"," ")</f>
        <v xml:space="preserve"> </v>
      </c>
      <c r="R6" s="64"/>
    </row>
    <row r="7" spans="1:23" ht="35.1" customHeight="1" thickTop="1" thickBot="1">
      <c r="B7" s="25"/>
      <c r="C7" s="20" t="s">
        <v>95</v>
      </c>
      <c r="D7" s="21" t="s">
        <v>96</v>
      </c>
      <c r="E7" s="15">
        <f t="shared" si="1"/>
        <v>960</v>
      </c>
      <c r="F7" s="22">
        <f t="shared" si="0"/>
        <v>1260</v>
      </c>
      <c r="G7" s="23">
        <v>16</v>
      </c>
      <c r="H7" s="24" t="str">
        <f t="shared" si="2"/>
        <v>V</v>
      </c>
      <c r="I7" s="191" t="s">
        <v>51</v>
      </c>
      <c r="J7" s="192"/>
      <c r="K7" s="192"/>
      <c r="L7" s="192"/>
      <c r="M7" s="192"/>
      <c r="N7" s="192"/>
      <c r="O7" s="193"/>
      <c r="R7" s="65"/>
    </row>
    <row r="8" spans="1:23" ht="35.1" customHeight="1" thickTop="1">
      <c r="B8" s="25"/>
      <c r="C8" s="20" t="s">
        <v>99</v>
      </c>
      <c r="D8" s="21" t="s">
        <v>100</v>
      </c>
      <c r="E8" s="15">
        <f t="shared" si="1"/>
        <v>1800</v>
      </c>
      <c r="F8" s="22">
        <f t="shared" si="0"/>
        <v>2100</v>
      </c>
      <c r="G8" s="23">
        <v>30</v>
      </c>
      <c r="H8" s="24" t="str">
        <f t="shared" si="2"/>
        <v xml:space="preserve"> </v>
      </c>
      <c r="I8" s="46" t="s">
        <v>53</v>
      </c>
      <c r="J8" s="47" t="s">
        <v>120</v>
      </c>
      <c r="K8" s="48" t="s">
        <v>121</v>
      </c>
      <c r="L8" s="15">
        <v>1400</v>
      </c>
      <c r="M8" s="16">
        <f t="shared" ref="M8:M21" si="3">L8+300</f>
        <v>1700</v>
      </c>
      <c r="N8" s="17"/>
      <c r="O8" s="49"/>
      <c r="R8" s="65"/>
    </row>
    <row r="9" spans="1:23" ht="56.25">
      <c r="B9" s="25"/>
      <c r="C9" s="20" t="s">
        <v>103</v>
      </c>
      <c r="D9" s="21" t="s">
        <v>104</v>
      </c>
      <c r="E9" s="15">
        <f t="shared" si="1"/>
        <v>1800</v>
      </c>
      <c r="F9" s="22">
        <f t="shared" si="0"/>
        <v>2100</v>
      </c>
      <c r="G9" s="23">
        <v>30</v>
      </c>
      <c r="H9" s="24" t="str">
        <f t="shared" si="2"/>
        <v xml:space="preserve"> </v>
      </c>
      <c r="I9" s="50"/>
      <c r="J9" s="47" t="s">
        <v>122</v>
      </c>
      <c r="K9" s="21" t="s">
        <v>123</v>
      </c>
      <c r="L9" s="51">
        <v>2700</v>
      </c>
      <c r="M9" s="16">
        <f t="shared" si="3"/>
        <v>3000</v>
      </c>
      <c r="N9" s="177" t="s">
        <v>212</v>
      </c>
      <c r="O9" s="136" t="s">
        <v>202</v>
      </c>
      <c r="R9" s="65"/>
    </row>
    <row r="10" spans="1:23" ht="35.1" customHeight="1">
      <c r="B10" s="25"/>
      <c r="C10" s="20" t="s">
        <v>107</v>
      </c>
      <c r="D10" s="21" t="s">
        <v>108</v>
      </c>
      <c r="E10" s="15">
        <f t="shared" si="1"/>
        <v>1800</v>
      </c>
      <c r="F10" s="22">
        <f t="shared" si="0"/>
        <v>2100</v>
      </c>
      <c r="G10" s="23">
        <v>30</v>
      </c>
      <c r="H10" s="24" t="str">
        <f t="shared" si="2"/>
        <v xml:space="preserve"> </v>
      </c>
      <c r="I10" s="50"/>
      <c r="J10" s="47" t="s">
        <v>124</v>
      </c>
      <c r="K10" s="21" t="s">
        <v>125</v>
      </c>
      <c r="L10" s="51">
        <v>1400</v>
      </c>
      <c r="M10" s="16">
        <f t="shared" si="3"/>
        <v>1700</v>
      </c>
      <c r="N10" s="23"/>
      <c r="O10" s="52"/>
      <c r="R10" s="65"/>
      <c r="S10" s="66">
        <f>SUMIFS(F4:F26,F4:F26,2100)</f>
        <v>39900</v>
      </c>
    </row>
    <row r="11" spans="1:23" ht="33">
      <c r="B11" s="25" t="s">
        <v>8</v>
      </c>
      <c r="C11" s="20" t="s">
        <v>111</v>
      </c>
      <c r="D11" s="21" t="s">
        <v>199</v>
      </c>
      <c r="E11" s="15">
        <f t="shared" si="1"/>
        <v>1800</v>
      </c>
      <c r="F11" s="22">
        <f t="shared" si="0"/>
        <v>2100</v>
      </c>
      <c r="G11" s="23">
        <v>30</v>
      </c>
      <c r="H11" s="24" t="str">
        <f t="shared" si="2"/>
        <v xml:space="preserve"> </v>
      </c>
      <c r="I11" s="50"/>
      <c r="J11" s="47" t="s">
        <v>127</v>
      </c>
      <c r="K11" s="21" t="s">
        <v>128</v>
      </c>
      <c r="L11" s="51">
        <v>2600</v>
      </c>
      <c r="M11" s="16">
        <f t="shared" si="3"/>
        <v>2900</v>
      </c>
      <c r="N11" s="177"/>
      <c r="O11" s="136" t="s">
        <v>198</v>
      </c>
      <c r="S11" s="67">
        <f>SUMIFS(M4:M6,M4:M6,2100)</f>
        <v>0</v>
      </c>
    </row>
    <row r="12" spans="1:23" ht="33.75" customHeight="1" thickBot="1">
      <c r="B12" s="25"/>
      <c r="C12" s="20" t="s">
        <v>116</v>
      </c>
      <c r="D12" s="21" t="s">
        <v>117</v>
      </c>
      <c r="E12" s="15">
        <f t="shared" si="1"/>
        <v>1800</v>
      </c>
      <c r="F12" s="22">
        <f t="shared" si="0"/>
        <v>2100</v>
      </c>
      <c r="G12" s="23">
        <v>30</v>
      </c>
      <c r="H12" s="24" t="str">
        <f t="shared" si="2"/>
        <v xml:space="preserve"> </v>
      </c>
      <c r="I12" s="50"/>
      <c r="J12" s="47" t="s">
        <v>129</v>
      </c>
      <c r="K12" s="21" t="s">
        <v>130</v>
      </c>
      <c r="L12" s="51">
        <v>1400</v>
      </c>
      <c r="M12" s="16">
        <f t="shared" si="3"/>
        <v>1700</v>
      </c>
      <c r="N12" s="23"/>
      <c r="O12" s="136"/>
      <c r="R12" s="68" t="s">
        <v>115</v>
      </c>
      <c r="S12" s="69">
        <f>SUM(S10:S11)</f>
        <v>39900</v>
      </c>
      <c r="W12" s="70"/>
    </row>
    <row r="13" spans="1:23" ht="35.1" customHeight="1" thickTop="1">
      <c r="B13" s="25" t="s">
        <v>8</v>
      </c>
      <c r="C13" s="20" t="s">
        <v>118</v>
      </c>
      <c r="D13" s="27" t="s">
        <v>119</v>
      </c>
      <c r="E13" s="15">
        <f t="shared" si="1"/>
        <v>1800</v>
      </c>
      <c r="F13" s="22">
        <f t="shared" si="0"/>
        <v>2100</v>
      </c>
      <c r="G13" s="23">
        <v>30</v>
      </c>
      <c r="H13" s="24" t="str">
        <f t="shared" si="2"/>
        <v xml:space="preserve"> </v>
      </c>
      <c r="I13" s="50"/>
      <c r="J13" s="47" t="s">
        <v>131</v>
      </c>
      <c r="K13" s="21" t="s">
        <v>132</v>
      </c>
      <c r="L13" s="51">
        <v>1400</v>
      </c>
      <c r="M13" s="16">
        <f t="shared" si="3"/>
        <v>1700</v>
      </c>
      <c r="N13" s="23"/>
      <c r="O13" s="52"/>
    </row>
    <row r="14" spans="1:23" ht="35.1" customHeight="1">
      <c r="B14" s="25"/>
      <c r="C14" s="20" t="s">
        <v>83</v>
      </c>
      <c r="D14" s="29" t="s">
        <v>84</v>
      </c>
      <c r="E14" s="15">
        <f t="shared" si="1"/>
        <v>1800</v>
      </c>
      <c r="F14" s="16">
        <f t="shared" si="0"/>
        <v>2100</v>
      </c>
      <c r="G14" s="17">
        <v>30</v>
      </c>
      <c r="H14" s="24" t="str">
        <f t="shared" si="2"/>
        <v xml:space="preserve"> </v>
      </c>
      <c r="I14" s="50"/>
      <c r="J14" s="47" t="s">
        <v>133</v>
      </c>
      <c r="K14" s="21" t="s">
        <v>134</v>
      </c>
      <c r="L14" s="51">
        <v>1400</v>
      </c>
      <c r="M14" s="16">
        <f t="shared" si="3"/>
        <v>1700</v>
      </c>
      <c r="N14" s="23"/>
      <c r="O14" s="52"/>
      <c r="S14" s="71">
        <f>SUMIFS(M4:M5,O4:O5,"V")</f>
        <v>2760</v>
      </c>
    </row>
    <row r="15" spans="1:23" ht="35.1" customHeight="1">
      <c r="B15" s="19"/>
      <c r="C15" s="20" t="s">
        <v>87</v>
      </c>
      <c r="D15" s="21" t="s">
        <v>88</v>
      </c>
      <c r="E15" s="28">
        <f t="shared" si="1"/>
        <v>1800</v>
      </c>
      <c r="F15" s="22">
        <f t="shared" si="0"/>
        <v>2100</v>
      </c>
      <c r="G15" s="23">
        <v>30</v>
      </c>
      <c r="H15" s="18" t="str">
        <f t="shared" si="2"/>
        <v xml:space="preserve"> </v>
      </c>
      <c r="I15" s="50"/>
      <c r="J15" s="47" t="s">
        <v>142</v>
      </c>
      <c r="K15" s="21" t="s">
        <v>143</v>
      </c>
      <c r="L15" s="51">
        <v>1400</v>
      </c>
      <c r="M15" s="16">
        <f t="shared" si="3"/>
        <v>1700</v>
      </c>
      <c r="N15" s="23"/>
      <c r="O15" s="137"/>
      <c r="R15" s="64"/>
      <c r="S15" s="72">
        <f>SUMIFS(F4:F26,H4:H26,"V")</f>
        <v>2520</v>
      </c>
    </row>
    <row r="16" spans="1:23" ht="35.1" customHeight="1" thickBot="1">
      <c r="B16" s="25"/>
      <c r="C16" s="20" t="s">
        <v>89</v>
      </c>
      <c r="D16" s="30" t="s">
        <v>90</v>
      </c>
      <c r="E16" s="28">
        <f t="shared" si="1"/>
        <v>1800</v>
      </c>
      <c r="F16" s="22">
        <f t="shared" si="0"/>
        <v>2100</v>
      </c>
      <c r="G16" s="23">
        <v>30</v>
      </c>
      <c r="H16" s="31" t="str">
        <f t="shared" si="2"/>
        <v xml:space="preserve"> </v>
      </c>
      <c r="I16" s="50"/>
      <c r="J16" s="47" t="s">
        <v>137</v>
      </c>
      <c r="K16" s="30" t="s">
        <v>138</v>
      </c>
      <c r="L16" s="51">
        <v>1500</v>
      </c>
      <c r="M16" s="16">
        <f t="shared" si="3"/>
        <v>1800</v>
      </c>
      <c r="N16" s="23"/>
      <c r="O16" s="52"/>
      <c r="R16" s="5" t="s">
        <v>126</v>
      </c>
      <c r="S16" s="73">
        <f>SUM(S14,S15)</f>
        <v>5280</v>
      </c>
    </row>
    <row r="17" spans="1:19" ht="35.1" customHeight="1" thickTop="1">
      <c r="B17" s="25"/>
      <c r="C17" s="20" t="s">
        <v>93</v>
      </c>
      <c r="D17" s="30" t="s">
        <v>94</v>
      </c>
      <c r="E17" s="28">
        <f t="shared" si="1"/>
        <v>1800</v>
      </c>
      <c r="F17" s="22">
        <f t="shared" si="0"/>
        <v>2100</v>
      </c>
      <c r="G17" s="23">
        <v>30</v>
      </c>
      <c r="H17" s="31" t="str">
        <f t="shared" si="2"/>
        <v xml:space="preserve"> </v>
      </c>
      <c r="I17" s="50"/>
      <c r="J17" s="47" t="s">
        <v>135</v>
      </c>
      <c r="K17" s="21" t="s">
        <v>136</v>
      </c>
      <c r="L17" s="51">
        <v>1400</v>
      </c>
      <c r="M17" s="16">
        <f t="shared" si="3"/>
        <v>1700</v>
      </c>
      <c r="N17" s="127"/>
      <c r="O17" s="142"/>
    </row>
    <row r="18" spans="1:19" ht="35.1" customHeight="1">
      <c r="B18" s="25"/>
      <c r="C18" s="20" t="s">
        <v>97</v>
      </c>
      <c r="D18" s="30" t="s">
        <v>98</v>
      </c>
      <c r="E18" s="28">
        <f t="shared" si="1"/>
        <v>1800</v>
      </c>
      <c r="F18" s="22">
        <f t="shared" si="0"/>
        <v>2100</v>
      </c>
      <c r="G18" s="23">
        <v>30</v>
      </c>
      <c r="H18" s="31" t="str">
        <f t="shared" si="2"/>
        <v xml:space="preserve"> </v>
      </c>
      <c r="I18" s="53"/>
      <c r="J18" s="47" t="s">
        <v>147</v>
      </c>
      <c r="K18" s="21" t="s">
        <v>153</v>
      </c>
      <c r="L18" s="51">
        <v>1500</v>
      </c>
      <c r="M18" s="16">
        <f t="shared" si="3"/>
        <v>1800</v>
      </c>
      <c r="N18" s="127"/>
      <c r="O18" s="167"/>
      <c r="R18" s="74" t="s">
        <v>77</v>
      </c>
      <c r="S18" s="75">
        <f>SUM(M8:M26)</f>
        <v>35300</v>
      </c>
    </row>
    <row r="19" spans="1:19" ht="35.1" customHeight="1" thickBot="1">
      <c r="B19" s="25"/>
      <c r="C19" s="20" t="s">
        <v>101</v>
      </c>
      <c r="D19" s="30" t="s">
        <v>102</v>
      </c>
      <c r="E19" s="28">
        <f t="shared" si="1"/>
        <v>1800</v>
      </c>
      <c r="F19" s="22">
        <f t="shared" si="0"/>
        <v>2100</v>
      </c>
      <c r="G19" s="23">
        <v>30</v>
      </c>
      <c r="H19" s="31" t="str">
        <f t="shared" si="2"/>
        <v xml:space="preserve"> </v>
      </c>
      <c r="I19" s="53"/>
      <c r="J19" s="47" t="s">
        <v>148</v>
      </c>
      <c r="K19" s="21" t="s">
        <v>149</v>
      </c>
      <c r="L19" s="51">
        <v>1500</v>
      </c>
      <c r="M19" s="16">
        <f t="shared" si="3"/>
        <v>1800</v>
      </c>
      <c r="N19" s="196" t="s">
        <v>212</v>
      </c>
      <c r="O19" s="197"/>
      <c r="R19" s="5" t="s">
        <v>64</v>
      </c>
      <c r="S19" s="73">
        <f>SUM(S16,S12,S18)</f>
        <v>80480</v>
      </c>
    </row>
    <row r="20" spans="1:19" ht="35.1" customHeight="1" thickTop="1">
      <c r="B20" s="25"/>
      <c r="C20" s="20" t="s">
        <v>105</v>
      </c>
      <c r="D20" s="21" t="s">
        <v>106</v>
      </c>
      <c r="E20" s="28">
        <f t="shared" si="1"/>
        <v>1800</v>
      </c>
      <c r="F20" s="22">
        <f t="shared" si="0"/>
        <v>2100</v>
      </c>
      <c r="G20" s="23">
        <v>30</v>
      </c>
      <c r="H20" s="31" t="str">
        <f t="shared" si="2"/>
        <v xml:space="preserve"> </v>
      </c>
      <c r="I20" s="53"/>
      <c r="J20" s="47" t="s">
        <v>150</v>
      </c>
      <c r="K20" s="21" t="s">
        <v>151</v>
      </c>
      <c r="L20" s="51">
        <v>1500</v>
      </c>
      <c r="M20" s="16">
        <f t="shared" si="3"/>
        <v>1800</v>
      </c>
      <c r="N20" s="45"/>
      <c r="O20" s="138"/>
      <c r="R20" s="5" t="s">
        <v>68</v>
      </c>
      <c r="S20" s="76">
        <f>SUM(F4:F26,M4:M26)</f>
        <v>80480</v>
      </c>
    </row>
    <row r="21" spans="1:19" ht="35.1" customHeight="1">
      <c r="B21" s="25"/>
      <c r="C21" s="20" t="s">
        <v>109</v>
      </c>
      <c r="D21" s="21" t="s">
        <v>110</v>
      </c>
      <c r="E21" s="28">
        <f t="shared" si="1"/>
        <v>1800</v>
      </c>
      <c r="F21" s="22">
        <f t="shared" si="0"/>
        <v>2100</v>
      </c>
      <c r="G21" s="23">
        <v>30</v>
      </c>
      <c r="H21" s="31" t="str">
        <f t="shared" si="2"/>
        <v xml:space="preserve"> </v>
      </c>
      <c r="I21" s="53"/>
      <c r="J21" s="47" t="s">
        <v>154</v>
      </c>
      <c r="K21" s="21" t="s">
        <v>152</v>
      </c>
      <c r="L21" s="51">
        <v>1400</v>
      </c>
      <c r="M21" s="16">
        <f t="shared" si="3"/>
        <v>1700</v>
      </c>
      <c r="N21" s="196" t="s">
        <v>212</v>
      </c>
      <c r="O21" s="197"/>
      <c r="S21" s="76"/>
    </row>
    <row r="22" spans="1:19" ht="35.1" customHeight="1">
      <c r="B22" s="25"/>
      <c r="C22" s="20" t="s">
        <v>113</v>
      </c>
      <c r="D22" s="32" t="s">
        <v>114</v>
      </c>
      <c r="E22" s="28">
        <f t="shared" si="1"/>
        <v>960</v>
      </c>
      <c r="F22" s="33">
        <f t="shared" si="0"/>
        <v>1260</v>
      </c>
      <c r="G22" s="23">
        <v>16</v>
      </c>
      <c r="H22" s="31" t="str">
        <f t="shared" si="2"/>
        <v>V</v>
      </c>
      <c r="I22" s="132"/>
      <c r="J22" s="133" t="s">
        <v>160</v>
      </c>
      <c r="K22" s="30" t="s">
        <v>159</v>
      </c>
      <c r="L22" s="51">
        <v>1500</v>
      </c>
      <c r="M22" s="16">
        <f>L22+300</f>
        <v>1800</v>
      </c>
      <c r="N22" s="45"/>
      <c r="O22" s="130"/>
      <c r="S22" s="76"/>
    </row>
    <row r="23" spans="1:19" ht="35.1" customHeight="1">
      <c r="B23" s="25"/>
      <c r="C23" s="140" t="s">
        <v>163</v>
      </c>
      <c r="D23" s="32" t="s">
        <v>164</v>
      </c>
      <c r="E23" s="28">
        <f t="shared" si="1"/>
        <v>1800</v>
      </c>
      <c r="F23" s="33">
        <f>E23+300</f>
        <v>2100</v>
      </c>
      <c r="G23" s="23">
        <v>30</v>
      </c>
      <c r="H23" s="31" t="str">
        <f t="shared" si="2"/>
        <v xml:space="preserve"> </v>
      </c>
      <c r="I23" s="132"/>
      <c r="J23" s="133" t="s">
        <v>184</v>
      </c>
      <c r="K23" s="30" t="s">
        <v>180</v>
      </c>
      <c r="L23" s="51">
        <v>1400</v>
      </c>
      <c r="M23" s="16">
        <f>L23+300</f>
        <v>1700</v>
      </c>
      <c r="N23" s="45"/>
      <c r="O23" s="130"/>
      <c r="S23" s="76"/>
    </row>
    <row r="24" spans="1:19" ht="35.1" customHeight="1">
      <c r="B24" s="25"/>
      <c r="C24" s="20" t="s">
        <v>165</v>
      </c>
      <c r="D24" s="21" t="s">
        <v>166</v>
      </c>
      <c r="E24" s="28">
        <f>1800/30*G24</f>
        <v>1800</v>
      </c>
      <c r="F24" s="22">
        <f t="shared" ref="F24" si="4">E24+300</f>
        <v>2100</v>
      </c>
      <c r="G24" s="23">
        <v>30</v>
      </c>
      <c r="H24" s="18" t="str">
        <f t="shared" si="2"/>
        <v xml:space="preserve"> </v>
      </c>
      <c r="I24" s="132"/>
      <c r="J24" s="133" t="s">
        <v>185</v>
      </c>
      <c r="K24" s="30" t="s">
        <v>181</v>
      </c>
      <c r="L24" s="51">
        <v>1400</v>
      </c>
      <c r="M24" s="16">
        <f t="shared" ref="M24:M26" si="5">L24+300</f>
        <v>1700</v>
      </c>
      <c r="N24" s="45"/>
      <c r="O24" s="130"/>
      <c r="S24" s="76"/>
    </row>
    <row r="25" spans="1:19" ht="35.1" customHeight="1">
      <c r="B25" s="168"/>
      <c r="C25" s="169"/>
      <c r="D25" s="170"/>
      <c r="E25" s="15"/>
      <c r="F25" s="171"/>
      <c r="G25" s="17"/>
      <c r="H25" s="31"/>
      <c r="I25" s="53"/>
      <c r="J25" s="133" t="s">
        <v>186</v>
      </c>
      <c r="K25" s="30" t="s">
        <v>182</v>
      </c>
      <c r="L25" s="51">
        <v>1400</v>
      </c>
      <c r="M25" s="16">
        <f t="shared" si="5"/>
        <v>1700</v>
      </c>
      <c r="N25" s="45"/>
      <c r="O25" s="130"/>
      <c r="R25" s="3"/>
    </row>
    <row r="26" spans="1:19" ht="35.1" customHeight="1" thickBot="1">
      <c r="B26" s="34"/>
      <c r="C26" s="157"/>
      <c r="D26" s="158"/>
      <c r="E26" s="144"/>
      <c r="F26" s="145"/>
      <c r="G26" s="159"/>
      <c r="H26" s="156"/>
      <c r="I26" s="160"/>
      <c r="J26" s="173" t="s">
        <v>187</v>
      </c>
      <c r="K26" s="172" t="s">
        <v>183</v>
      </c>
      <c r="L26" s="174">
        <v>1400</v>
      </c>
      <c r="M26" s="145">
        <f t="shared" si="5"/>
        <v>1700</v>
      </c>
      <c r="N26" s="161"/>
      <c r="O26" s="162"/>
      <c r="R26" s="3"/>
    </row>
    <row r="27" spans="1:19" ht="25.15" customHeight="1" thickTop="1">
      <c r="B27" s="35"/>
      <c r="C27" s="35"/>
      <c r="D27" s="131"/>
      <c r="E27" s="36"/>
      <c r="F27" s="37"/>
      <c r="G27" s="38"/>
      <c r="H27" s="39"/>
      <c r="I27" s="56"/>
      <c r="J27" s="57"/>
      <c r="K27" s="58"/>
      <c r="L27" s="59"/>
      <c r="M27" s="37"/>
      <c r="N27" s="38"/>
      <c r="O27" s="60"/>
    </row>
    <row r="28" spans="1:19" s="2" customFormat="1" ht="24.6" customHeight="1">
      <c r="A28" s="2" t="s">
        <v>8</v>
      </c>
      <c r="B28" s="186" t="s">
        <v>171</v>
      </c>
      <c r="C28" s="186"/>
      <c r="D28" s="186"/>
      <c r="E28" s="186"/>
      <c r="F28" s="186"/>
      <c r="G28" s="186"/>
      <c r="H28" s="186"/>
      <c r="I28" s="186"/>
      <c r="J28" s="186"/>
      <c r="K28" s="186"/>
      <c r="L28" s="186"/>
      <c r="M28" s="186"/>
      <c r="N28" s="186"/>
      <c r="O28" s="186"/>
      <c r="P28" s="61" t="s">
        <v>77</v>
      </c>
      <c r="Q28" s="77" t="s">
        <v>78</v>
      </c>
    </row>
    <row r="29" spans="1:19" s="2" customFormat="1" ht="24.6" customHeight="1">
      <c r="B29" s="187" t="s">
        <v>206</v>
      </c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62"/>
      <c r="Q29" s="77" t="s">
        <v>79</v>
      </c>
    </row>
    <row r="30" spans="1:19" s="2" customFormat="1" ht="24.6" customHeight="1">
      <c r="B30" s="186" t="s">
        <v>207</v>
      </c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6"/>
    </row>
    <row r="31" spans="1:19" s="2" customFormat="1" ht="19.5">
      <c r="B31" s="186" t="s">
        <v>208</v>
      </c>
      <c r="C31" s="186"/>
      <c r="D31" s="186"/>
      <c r="E31" s="186"/>
      <c r="F31" s="186"/>
      <c r="G31" s="186"/>
      <c r="H31" s="186"/>
      <c r="I31" s="186"/>
      <c r="J31" s="186"/>
      <c r="K31" s="186"/>
      <c r="L31" s="186"/>
      <c r="M31" s="186"/>
      <c r="N31" s="186"/>
      <c r="O31" s="186"/>
      <c r="R31" s="78"/>
    </row>
  </sheetData>
  <mergeCells count="9">
    <mergeCell ref="B31:O31"/>
    <mergeCell ref="B1:O1"/>
    <mergeCell ref="L2:O2"/>
    <mergeCell ref="I7:O7"/>
    <mergeCell ref="B28:O28"/>
    <mergeCell ref="B29:O29"/>
    <mergeCell ref="B30:O30"/>
    <mergeCell ref="N19:O19"/>
    <mergeCell ref="N21:O21"/>
  </mergeCells>
  <phoneticPr fontId="26" type="noConversion"/>
  <conditionalFormatting sqref="G4:G26">
    <cfRule type="cellIs" dxfId="9" priority="2" stopIfTrue="1" operator="lessThan">
      <formula>30</formula>
    </cfRule>
  </conditionalFormatting>
  <conditionalFormatting sqref="N4:N5">
    <cfRule type="cellIs" dxfId="8" priority="1" stopIfTrue="1" operator="lessThan">
      <formula>30</formula>
    </cfRule>
  </conditionalFormatting>
  <printOptions horizontalCentered="1"/>
  <pageMargins left="0.23622047244094499" right="0.23622047244094499" top="0.35433070866141703" bottom="0.35433070866141703" header="0" footer="0"/>
  <pageSetup paperSize="9" scale="6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6A435-A3C0-428C-87D8-9CBCB85BAE33}">
  <sheetPr>
    <pageSetUpPr fitToPage="1"/>
  </sheetPr>
  <dimension ref="A1:S41"/>
  <sheetViews>
    <sheetView zoomScale="70" zoomScaleNormal="70" workbookViewId="0">
      <selection activeCell="P5" sqref="P5"/>
    </sheetView>
  </sheetViews>
  <sheetFormatPr defaultColWidth="9" defaultRowHeight="16.5"/>
  <cols>
    <col min="1" max="1" width="1.875" style="3" customWidth="1"/>
    <col min="2" max="2" width="10" style="4" customWidth="1"/>
    <col min="3" max="3" width="9.875" style="4" customWidth="1"/>
    <col min="4" max="4" width="10.875" style="4" customWidth="1"/>
    <col min="5" max="5" width="10.5" style="4" customWidth="1"/>
    <col min="6" max="6" width="11" style="4" customWidth="1"/>
    <col min="7" max="7" width="9" style="4" customWidth="1"/>
    <col min="8" max="8" width="10.625" style="4" customWidth="1"/>
    <col min="9" max="9" width="10" style="4" customWidth="1"/>
    <col min="10" max="10" width="9.875" style="4" customWidth="1"/>
    <col min="11" max="11" width="10.875" style="4" customWidth="1"/>
    <col min="12" max="12" width="10.5" style="4" customWidth="1"/>
    <col min="13" max="13" width="11" style="4" customWidth="1"/>
    <col min="14" max="14" width="9" style="4" customWidth="1"/>
    <col min="15" max="15" width="10.625" style="4" customWidth="1"/>
    <col min="16" max="16" width="9" style="3" customWidth="1"/>
    <col min="17" max="17" width="19.5" style="3" customWidth="1"/>
    <col min="18" max="18" width="16.75" style="3" customWidth="1"/>
    <col min="19" max="19" width="16.5" style="3" customWidth="1"/>
    <col min="20" max="256" width="9" style="3"/>
    <col min="257" max="257" width="1.875" style="3" customWidth="1"/>
    <col min="258" max="258" width="10" style="3" customWidth="1"/>
    <col min="259" max="259" width="9.875" style="3" customWidth="1"/>
    <col min="260" max="260" width="10.875" style="3" customWidth="1"/>
    <col min="261" max="261" width="10.5" style="3" customWidth="1"/>
    <col min="262" max="262" width="11" style="3" customWidth="1"/>
    <col min="263" max="263" width="9" style="3"/>
    <col min="264" max="264" width="10.625" style="3" customWidth="1"/>
    <col min="265" max="265" width="10" style="3" customWidth="1"/>
    <col min="266" max="266" width="9.875" style="3" customWidth="1"/>
    <col min="267" max="267" width="10.875" style="3" customWidth="1"/>
    <col min="268" max="268" width="10.5" style="3" customWidth="1"/>
    <col min="269" max="269" width="11" style="3" customWidth="1"/>
    <col min="270" max="270" width="9" style="3"/>
    <col min="271" max="271" width="10.625" style="3" customWidth="1"/>
    <col min="272" max="272" width="9" style="3"/>
    <col min="273" max="273" width="19.5" style="3" customWidth="1"/>
    <col min="274" max="274" width="16.75" style="3" customWidth="1"/>
    <col min="275" max="275" width="16.5" style="3" customWidth="1"/>
    <col min="276" max="512" width="9" style="3"/>
    <col min="513" max="513" width="1.875" style="3" customWidth="1"/>
    <col min="514" max="514" width="10" style="3" customWidth="1"/>
    <col min="515" max="515" width="9.875" style="3" customWidth="1"/>
    <col min="516" max="516" width="10.875" style="3" customWidth="1"/>
    <col min="517" max="517" width="10.5" style="3" customWidth="1"/>
    <col min="518" max="518" width="11" style="3" customWidth="1"/>
    <col min="519" max="519" width="9" style="3"/>
    <col min="520" max="520" width="10.625" style="3" customWidth="1"/>
    <col min="521" max="521" width="10" style="3" customWidth="1"/>
    <col min="522" max="522" width="9.875" style="3" customWidth="1"/>
    <col min="523" max="523" width="10.875" style="3" customWidth="1"/>
    <col min="524" max="524" width="10.5" style="3" customWidth="1"/>
    <col min="525" max="525" width="11" style="3" customWidth="1"/>
    <col min="526" max="526" width="9" style="3"/>
    <col min="527" max="527" width="10.625" style="3" customWidth="1"/>
    <col min="528" max="528" width="9" style="3"/>
    <col min="529" max="529" width="19.5" style="3" customWidth="1"/>
    <col min="530" max="530" width="16.75" style="3" customWidth="1"/>
    <col min="531" max="531" width="16.5" style="3" customWidth="1"/>
    <col min="532" max="768" width="9" style="3"/>
    <col min="769" max="769" width="1.875" style="3" customWidth="1"/>
    <col min="770" max="770" width="10" style="3" customWidth="1"/>
    <col min="771" max="771" width="9.875" style="3" customWidth="1"/>
    <col min="772" max="772" width="10.875" style="3" customWidth="1"/>
    <col min="773" max="773" width="10.5" style="3" customWidth="1"/>
    <col min="774" max="774" width="11" style="3" customWidth="1"/>
    <col min="775" max="775" width="9" style="3"/>
    <col min="776" max="776" width="10.625" style="3" customWidth="1"/>
    <col min="777" max="777" width="10" style="3" customWidth="1"/>
    <col min="778" max="778" width="9.875" style="3" customWidth="1"/>
    <col min="779" max="779" width="10.875" style="3" customWidth="1"/>
    <col min="780" max="780" width="10.5" style="3" customWidth="1"/>
    <col min="781" max="781" width="11" style="3" customWidth="1"/>
    <col min="782" max="782" width="9" style="3"/>
    <col min="783" max="783" width="10.625" style="3" customWidth="1"/>
    <col min="784" max="784" width="9" style="3"/>
    <col min="785" max="785" width="19.5" style="3" customWidth="1"/>
    <col min="786" max="786" width="16.75" style="3" customWidth="1"/>
    <col min="787" max="787" width="16.5" style="3" customWidth="1"/>
    <col min="788" max="1024" width="9" style="3"/>
    <col min="1025" max="1025" width="1.875" style="3" customWidth="1"/>
    <col min="1026" max="1026" width="10" style="3" customWidth="1"/>
    <col min="1027" max="1027" width="9.875" style="3" customWidth="1"/>
    <col min="1028" max="1028" width="10.875" style="3" customWidth="1"/>
    <col min="1029" max="1029" width="10.5" style="3" customWidth="1"/>
    <col min="1030" max="1030" width="11" style="3" customWidth="1"/>
    <col min="1031" max="1031" width="9" style="3"/>
    <col min="1032" max="1032" width="10.625" style="3" customWidth="1"/>
    <col min="1033" max="1033" width="10" style="3" customWidth="1"/>
    <col min="1034" max="1034" width="9.875" style="3" customWidth="1"/>
    <col min="1035" max="1035" width="10.875" style="3" customWidth="1"/>
    <col min="1036" max="1036" width="10.5" style="3" customWidth="1"/>
    <col min="1037" max="1037" width="11" style="3" customWidth="1"/>
    <col min="1038" max="1038" width="9" style="3"/>
    <col min="1039" max="1039" width="10.625" style="3" customWidth="1"/>
    <col min="1040" max="1040" width="9" style="3"/>
    <col min="1041" max="1041" width="19.5" style="3" customWidth="1"/>
    <col min="1042" max="1042" width="16.75" style="3" customWidth="1"/>
    <col min="1043" max="1043" width="16.5" style="3" customWidth="1"/>
    <col min="1044" max="1280" width="9" style="3"/>
    <col min="1281" max="1281" width="1.875" style="3" customWidth="1"/>
    <col min="1282" max="1282" width="10" style="3" customWidth="1"/>
    <col min="1283" max="1283" width="9.875" style="3" customWidth="1"/>
    <col min="1284" max="1284" width="10.875" style="3" customWidth="1"/>
    <col min="1285" max="1285" width="10.5" style="3" customWidth="1"/>
    <col min="1286" max="1286" width="11" style="3" customWidth="1"/>
    <col min="1287" max="1287" width="9" style="3"/>
    <col min="1288" max="1288" width="10.625" style="3" customWidth="1"/>
    <col min="1289" max="1289" width="10" style="3" customWidth="1"/>
    <col min="1290" max="1290" width="9.875" style="3" customWidth="1"/>
    <col min="1291" max="1291" width="10.875" style="3" customWidth="1"/>
    <col min="1292" max="1292" width="10.5" style="3" customWidth="1"/>
    <col min="1293" max="1293" width="11" style="3" customWidth="1"/>
    <col min="1294" max="1294" width="9" style="3"/>
    <col min="1295" max="1295" width="10.625" style="3" customWidth="1"/>
    <col min="1296" max="1296" width="9" style="3"/>
    <col min="1297" max="1297" width="19.5" style="3" customWidth="1"/>
    <col min="1298" max="1298" width="16.75" style="3" customWidth="1"/>
    <col min="1299" max="1299" width="16.5" style="3" customWidth="1"/>
    <col min="1300" max="1536" width="9" style="3"/>
    <col min="1537" max="1537" width="1.875" style="3" customWidth="1"/>
    <col min="1538" max="1538" width="10" style="3" customWidth="1"/>
    <col min="1539" max="1539" width="9.875" style="3" customWidth="1"/>
    <col min="1540" max="1540" width="10.875" style="3" customWidth="1"/>
    <col min="1541" max="1541" width="10.5" style="3" customWidth="1"/>
    <col min="1542" max="1542" width="11" style="3" customWidth="1"/>
    <col min="1543" max="1543" width="9" style="3"/>
    <col min="1544" max="1544" width="10.625" style="3" customWidth="1"/>
    <col min="1545" max="1545" width="10" style="3" customWidth="1"/>
    <col min="1546" max="1546" width="9.875" style="3" customWidth="1"/>
    <col min="1547" max="1547" width="10.875" style="3" customWidth="1"/>
    <col min="1548" max="1548" width="10.5" style="3" customWidth="1"/>
    <col min="1549" max="1549" width="11" style="3" customWidth="1"/>
    <col min="1550" max="1550" width="9" style="3"/>
    <col min="1551" max="1551" width="10.625" style="3" customWidth="1"/>
    <col min="1552" max="1552" width="9" style="3"/>
    <col min="1553" max="1553" width="19.5" style="3" customWidth="1"/>
    <col min="1554" max="1554" width="16.75" style="3" customWidth="1"/>
    <col min="1555" max="1555" width="16.5" style="3" customWidth="1"/>
    <col min="1556" max="1792" width="9" style="3"/>
    <col min="1793" max="1793" width="1.875" style="3" customWidth="1"/>
    <col min="1794" max="1794" width="10" style="3" customWidth="1"/>
    <col min="1795" max="1795" width="9.875" style="3" customWidth="1"/>
    <col min="1796" max="1796" width="10.875" style="3" customWidth="1"/>
    <col min="1797" max="1797" width="10.5" style="3" customWidth="1"/>
    <col min="1798" max="1798" width="11" style="3" customWidth="1"/>
    <col min="1799" max="1799" width="9" style="3"/>
    <col min="1800" max="1800" width="10.625" style="3" customWidth="1"/>
    <col min="1801" max="1801" width="10" style="3" customWidth="1"/>
    <col min="1802" max="1802" width="9.875" style="3" customWidth="1"/>
    <col min="1803" max="1803" width="10.875" style="3" customWidth="1"/>
    <col min="1804" max="1804" width="10.5" style="3" customWidth="1"/>
    <col min="1805" max="1805" width="11" style="3" customWidth="1"/>
    <col min="1806" max="1806" width="9" style="3"/>
    <col min="1807" max="1807" width="10.625" style="3" customWidth="1"/>
    <col min="1808" max="1808" width="9" style="3"/>
    <col min="1809" max="1809" width="19.5" style="3" customWidth="1"/>
    <col min="1810" max="1810" width="16.75" style="3" customWidth="1"/>
    <col min="1811" max="1811" width="16.5" style="3" customWidth="1"/>
    <col min="1812" max="2048" width="9" style="3"/>
    <col min="2049" max="2049" width="1.875" style="3" customWidth="1"/>
    <col min="2050" max="2050" width="10" style="3" customWidth="1"/>
    <col min="2051" max="2051" width="9.875" style="3" customWidth="1"/>
    <col min="2052" max="2052" width="10.875" style="3" customWidth="1"/>
    <col min="2053" max="2053" width="10.5" style="3" customWidth="1"/>
    <col min="2054" max="2054" width="11" style="3" customWidth="1"/>
    <col min="2055" max="2055" width="9" style="3"/>
    <col min="2056" max="2056" width="10.625" style="3" customWidth="1"/>
    <col min="2057" max="2057" width="10" style="3" customWidth="1"/>
    <col min="2058" max="2058" width="9.875" style="3" customWidth="1"/>
    <col min="2059" max="2059" width="10.875" style="3" customWidth="1"/>
    <col min="2060" max="2060" width="10.5" style="3" customWidth="1"/>
    <col min="2061" max="2061" width="11" style="3" customWidth="1"/>
    <col min="2062" max="2062" width="9" style="3"/>
    <col min="2063" max="2063" width="10.625" style="3" customWidth="1"/>
    <col min="2064" max="2064" width="9" style="3"/>
    <col min="2065" max="2065" width="19.5" style="3" customWidth="1"/>
    <col min="2066" max="2066" width="16.75" style="3" customWidth="1"/>
    <col min="2067" max="2067" width="16.5" style="3" customWidth="1"/>
    <col min="2068" max="2304" width="9" style="3"/>
    <col min="2305" max="2305" width="1.875" style="3" customWidth="1"/>
    <col min="2306" max="2306" width="10" style="3" customWidth="1"/>
    <col min="2307" max="2307" width="9.875" style="3" customWidth="1"/>
    <col min="2308" max="2308" width="10.875" style="3" customWidth="1"/>
    <col min="2309" max="2309" width="10.5" style="3" customWidth="1"/>
    <col min="2310" max="2310" width="11" style="3" customWidth="1"/>
    <col min="2311" max="2311" width="9" style="3"/>
    <col min="2312" max="2312" width="10.625" style="3" customWidth="1"/>
    <col min="2313" max="2313" width="10" style="3" customWidth="1"/>
    <col min="2314" max="2314" width="9.875" style="3" customWidth="1"/>
    <col min="2315" max="2315" width="10.875" style="3" customWidth="1"/>
    <col min="2316" max="2316" width="10.5" style="3" customWidth="1"/>
    <col min="2317" max="2317" width="11" style="3" customWidth="1"/>
    <col min="2318" max="2318" width="9" style="3"/>
    <col min="2319" max="2319" width="10.625" style="3" customWidth="1"/>
    <col min="2320" max="2320" width="9" style="3"/>
    <col min="2321" max="2321" width="19.5" style="3" customWidth="1"/>
    <col min="2322" max="2322" width="16.75" style="3" customWidth="1"/>
    <col min="2323" max="2323" width="16.5" style="3" customWidth="1"/>
    <col min="2324" max="2560" width="9" style="3"/>
    <col min="2561" max="2561" width="1.875" style="3" customWidth="1"/>
    <col min="2562" max="2562" width="10" style="3" customWidth="1"/>
    <col min="2563" max="2563" width="9.875" style="3" customWidth="1"/>
    <col min="2564" max="2564" width="10.875" style="3" customWidth="1"/>
    <col min="2565" max="2565" width="10.5" style="3" customWidth="1"/>
    <col min="2566" max="2566" width="11" style="3" customWidth="1"/>
    <col min="2567" max="2567" width="9" style="3"/>
    <col min="2568" max="2568" width="10.625" style="3" customWidth="1"/>
    <col min="2569" max="2569" width="10" style="3" customWidth="1"/>
    <col min="2570" max="2570" width="9.875" style="3" customWidth="1"/>
    <col min="2571" max="2571" width="10.875" style="3" customWidth="1"/>
    <col min="2572" max="2572" width="10.5" style="3" customWidth="1"/>
    <col min="2573" max="2573" width="11" style="3" customWidth="1"/>
    <col min="2574" max="2574" width="9" style="3"/>
    <col min="2575" max="2575" width="10.625" style="3" customWidth="1"/>
    <col min="2576" max="2576" width="9" style="3"/>
    <col min="2577" max="2577" width="19.5" style="3" customWidth="1"/>
    <col min="2578" max="2578" width="16.75" style="3" customWidth="1"/>
    <col min="2579" max="2579" width="16.5" style="3" customWidth="1"/>
    <col min="2580" max="2816" width="9" style="3"/>
    <col min="2817" max="2817" width="1.875" style="3" customWidth="1"/>
    <col min="2818" max="2818" width="10" style="3" customWidth="1"/>
    <col min="2819" max="2819" width="9.875" style="3" customWidth="1"/>
    <col min="2820" max="2820" width="10.875" style="3" customWidth="1"/>
    <col min="2821" max="2821" width="10.5" style="3" customWidth="1"/>
    <col min="2822" max="2822" width="11" style="3" customWidth="1"/>
    <col min="2823" max="2823" width="9" style="3"/>
    <col min="2824" max="2824" width="10.625" style="3" customWidth="1"/>
    <col min="2825" max="2825" width="10" style="3" customWidth="1"/>
    <col min="2826" max="2826" width="9.875" style="3" customWidth="1"/>
    <col min="2827" max="2827" width="10.875" style="3" customWidth="1"/>
    <col min="2828" max="2828" width="10.5" style="3" customWidth="1"/>
    <col min="2829" max="2829" width="11" style="3" customWidth="1"/>
    <col min="2830" max="2830" width="9" style="3"/>
    <col min="2831" max="2831" width="10.625" style="3" customWidth="1"/>
    <col min="2832" max="2832" width="9" style="3"/>
    <col min="2833" max="2833" width="19.5" style="3" customWidth="1"/>
    <col min="2834" max="2834" width="16.75" style="3" customWidth="1"/>
    <col min="2835" max="2835" width="16.5" style="3" customWidth="1"/>
    <col min="2836" max="3072" width="9" style="3"/>
    <col min="3073" max="3073" width="1.875" style="3" customWidth="1"/>
    <col min="3074" max="3074" width="10" style="3" customWidth="1"/>
    <col min="3075" max="3075" width="9.875" style="3" customWidth="1"/>
    <col min="3076" max="3076" width="10.875" style="3" customWidth="1"/>
    <col min="3077" max="3077" width="10.5" style="3" customWidth="1"/>
    <col min="3078" max="3078" width="11" style="3" customWidth="1"/>
    <col min="3079" max="3079" width="9" style="3"/>
    <col min="3080" max="3080" width="10.625" style="3" customWidth="1"/>
    <col min="3081" max="3081" width="10" style="3" customWidth="1"/>
    <col min="3082" max="3082" width="9.875" style="3" customWidth="1"/>
    <col min="3083" max="3083" width="10.875" style="3" customWidth="1"/>
    <col min="3084" max="3084" width="10.5" style="3" customWidth="1"/>
    <col min="3085" max="3085" width="11" style="3" customWidth="1"/>
    <col min="3086" max="3086" width="9" style="3"/>
    <col min="3087" max="3087" width="10.625" style="3" customWidth="1"/>
    <col min="3088" max="3088" width="9" style="3"/>
    <col min="3089" max="3089" width="19.5" style="3" customWidth="1"/>
    <col min="3090" max="3090" width="16.75" style="3" customWidth="1"/>
    <col min="3091" max="3091" width="16.5" style="3" customWidth="1"/>
    <col min="3092" max="3328" width="9" style="3"/>
    <col min="3329" max="3329" width="1.875" style="3" customWidth="1"/>
    <col min="3330" max="3330" width="10" style="3" customWidth="1"/>
    <col min="3331" max="3331" width="9.875" style="3" customWidth="1"/>
    <col min="3332" max="3332" width="10.875" style="3" customWidth="1"/>
    <col min="3333" max="3333" width="10.5" style="3" customWidth="1"/>
    <col min="3334" max="3334" width="11" style="3" customWidth="1"/>
    <col min="3335" max="3335" width="9" style="3"/>
    <col min="3336" max="3336" width="10.625" style="3" customWidth="1"/>
    <col min="3337" max="3337" width="10" style="3" customWidth="1"/>
    <col min="3338" max="3338" width="9.875" style="3" customWidth="1"/>
    <col min="3339" max="3339" width="10.875" style="3" customWidth="1"/>
    <col min="3340" max="3340" width="10.5" style="3" customWidth="1"/>
    <col min="3341" max="3341" width="11" style="3" customWidth="1"/>
    <col min="3342" max="3342" width="9" style="3"/>
    <col min="3343" max="3343" width="10.625" style="3" customWidth="1"/>
    <col min="3344" max="3344" width="9" style="3"/>
    <col min="3345" max="3345" width="19.5" style="3" customWidth="1"/>
    <col min="3346" max="3346" width="16.75" style="3" customWidth="1"/>
    <col min="3347" max="3347" width="16.5" style="3" customWidth="1"/>
    <col min="3348" max="3584" width="9" style="3"/>
    <col min="3585" max="3585" width="1.875" style="3" customWidth="1"/>
    <col min="3586" max="3586" width="10" style="3" customWidth="1"/>
    <col min="3587" max="3587" width="9.875" style="3" customWidth="1"/>
    <col min="3588" max="3588" width="10.875" style="3" customWidth="1"/>
    <col min="3589" max="3589" width="10.5" style="3" customWidth="1"/>
    <col min="3590" max="3590" width="11" style="3" customWidth="1"/>
    <col min="3591" max="3591" width="9" style="3"/>
    <col min="3592" max="3592" width="10.625" style="3" customWidth="1"/>
    <col min="3593" max="3593" width="10" style="3" customWidth="1"/>
    <col min="3594" max="3594" width="9.875" style="3" customWidth="1"/>
    <col min="3595" max="3595" width="10.875" style="3" customWidth="1"/>
    <col min="3596" max="3596" width="10.5" style="3" customWidth="1"/>
    <col min="3597" max="3597" width="11" style="3" customWidth="1"/>
    <col min="3598" max="3598" width="9" style="3"/>
    <col min="3599" max="3599" width="10.625" style="3" customWidth="1"/>
    <col min="3600" max="3600" width="9" style="3"/>
    <col min="3601" max="3601" width="19.5" style="3" customWidth="1"/>
    <col min="3602" max="3602" width="16.75" style="3" customWidth="1"/>
    <col min="3603" max="3603" width="16.5" style="3" customWidth="1"/>
    <col min="3604" max="3840" width="9" style="3"/>
    <col min="3841" max="3841" width="1.875" style="3" customWidth="1"/>
    <col min="3842" max="3842" width="10" style="3" customWidth="1"/>
    <col min="3843" max="3843" width="9.875" style="3" customWidth="1"/>
    <col min="3844" max="3844" width="10.875" style="3" customWidth="1"/>
    <col min="3845" max="3845" width="10.5" style="3" customWidth="1"/>
    <col min="3846" max="3846" width="11" style="3" customWidth="1"/>
    <col min="3847" max="3847" width="9" style="3"/>
    <col min="3848" max="3848" width="10.625" style="3" customWidth="1"/>
    <col min="3849" max="3849" width="10" style="3" customWidth="1"/>
    <col min="3850" max="3850" width="9.875" style="3" customWidth="1"/>
    <col min="3851" max="3851" width="10.875" style="3" customWidth="1"/>
    <col min="3852" max="3852" width="10.5" style="3" customWidth="1"/>
    <col min="3853" max="3853" width="11" style="3" customWidth="1"/>
    <col min="3854" max="3854" width="9" style="3"/>
    <col min="3855" max="3855" width="10.625" style="3" customWidth="1"/>
    <col min="3856" max="3856" width="9" style="3"/>
    <col min="3857" max="3857" width="19.5" style="3" customWidth="1"/>
    <col min="3858" max="3858" width="16.75" style="3" customWidth="1"/>
    <col min="3859" max="3859" width="16.5" style="3" customWidth="1"/>
    <col min="3860" max="4096" width="9" style="3"/>
    <col min="4097" max="4097" width="1.875" style="3" customWidth="1"/>
    <col min="4098" max="4098" width="10" style="3" customWidth="1"/>
    <col min="4099" max="4099" width="9.875" style="3" customWidth="1"/>
    <col min="4100" max="4100" width="10.875" style="3" customWidth="1"/>
    <col min="4101" max="4101" width="10.5" style="3" customWidth="1"/>
    <col min="4102" max="4102" width="11" style="3" customWidth="1"/>
    <col min="4103" max="4103" width="9" style="3"/>
    <col min="4104" max="4104" width="10.625" style="3" customWidth="1"/>
    <col min="4105" max="4105" width="10" style="3" customWidth="1"/>
    <col min="4106" max="4106" width="9.875" style="3" customWidth="1"/>
    <col min="4107" max="4107" width="10.875" style="3" customWidth="1"/>
    <col min="4108" max="4108" width="10.5" style="3" customWidth="1"/>
    <col min="4109" max="4109" width="11" style="3" customWidth="1"/>
    <col min="4110" max="4110" width="9" style="3"/>
    <col min="4111" max="4111" width="10.625" style="3" customWidth="1"/>
    <col min="4112" max="4112" width="9" style="3"/>
    <col min="4113" max="4113" width="19.5" style="3" customWidth="1"/>
    <col min="4114" max="4114" width="16.75" style="3" customWidth="1"/>
    <col min="4115" max="4115" width="16.5" style="3" customWidth="1"/>
    <col min="4116" max="4352" width="9" style="3"/>
    <col min="4353" max="4353" width="1.875" style="3" customWidth="1"/>
    <col min="4354" max="4354" width="10" style="3" customWidth="1"/>
    <col min="4355" max="4355" width="9.875" style="3" customWidth="1"/>
    <col min="4356" max="4356" width="10.875" style="3" customWidth="1"/>
    <col min="4357" max="4357" width="10.5" style="3" customWidth="1"/>
    <col min="4358" max="4358" width="11" style="3" customWidth="1"/>
    <col min="4359" max="4359" width="9" style="3"/>
    <col min="4360" max="4360" width="10.625" style="3" customWidth="1"/>
    <col min="4361" max="4361" width="10" style="3" customWidth="1"/>
    <col min="4362" max="4362" width="9.875" style="3" customWidth="1"/>
    <col min="4363" max="4363" width="10.875" style="3" customWidth="1"/>
    <col min="4364" max="4364" width="10.5" style="3" customWidth="1"/>
    <col min="4365" max="4365" width="11" style="3" customWidth="1"/>
    <col min="4366" max="4366" width="9" style="3"/>
    <col min="4367" max="4367" width="10.625" style="3" customWidth="1"/>
    <col min="4368" max="4368" width="9" style="3"/>
    <col min="4369" max="4369" width="19.5" style="3" customWidth="1"/>
    <col min="4370" max="4370" width="16.75" style="3" customWidth="1"/>
    <col min="4371" max="4371" width="16.5" style="3" customWidth="1"/>
    <col min="4372" max="4608" width="9" style="3"/>
    <col min="4609" max="4609" width="1.875" style="3" customWidth="1"/>
    <col min="4610" max="4610" width="10" style="3" customWidth="1"/>
    <col min="4611" max="4611" width="9.875" style="3" customWidth="1"/>
    <col min="4612" max="4612" width="10.875" style="3" customWidth="1"/>
    <col min="4613" max="4613" width="10.5" style="3" customWidth="1"/>
    <col min="4614" max="4614" width="11" style="3" customWidth="1"/>
    <col min="4615" max="4615" width="9" style="3"/>
    <col min="4616" max="4616" width="10.625" style="3" customWidth="1"/>
    <col min="4617" max="4617" width="10" style="3" customWidth="1"/>
    <col min="4618" max="4618" width="9.875" style="3" customWidth="1"/>
    <col min="4619" max="4619" width="10.875" style="3" customWidth="1"/>
    <col min="4620" max="4620" width="10.5" style="3" customWidth="1"/>
    <col min="4621" max="4621" width="11" style="3" customWidth="1"/>
    <col min="4622" max="4622" width="9" style="3"/>
    <col min="4623" max="4623" width="10.625" style="3" customWidth="1"/>
    <col min="4624" max="4624" width="9" style="3"/>
    <col min="4625" max="4625" width="19.5" style="3" customWidth="1"/>
    <col min="4626" max="4626" width="16.75" style="3" customWidth="1"/>
    <col min="4627" max="4627" width="16.5" style="3" customWidth="1"/>
    <col min="4628" max="4864" width="9" style="3"/>
    <col min="4865" max="4865" width="1.875" style="3" customWidth="1"/>
    <col min="4866" max="4866" width="10" style="3" customWidth="1"/>
    <col min="4867" max="4867" width="9.875" style="3" customWidth="1"/>
    <col min="4868" max="4868" width="10.875" style="3" customWidth="1"/>
    <col min="4869" max="4869" width="10.5" style="3" customWidth="1"/>
    <col min="4870" max="4870" width="11" style="3" customWidth="1"/>
    <col min="4871" max="4871" width="9" style="3"/>
    <col min="4872" max="4872" width="10.625" style="3" customWidth="1"/>
    <col min="4873" max="4873" width="10" style="3" customWidth="1"/>
    <col min="4874" max="4874" width="9.875" style="3" customWidth="1"/>
    <col min="4875" max="4875" width="10.875" style="3" customWidth="1"/>
    <col min="4876" max="4876" width="10.5" style="3" customWidth="1"/>
    <col min="4877" max="4877" width="11" style="3" customWidth="1"/>
    <col min="4878" max="4878" width="9" style="3"/>
    <col min="4879" max="4879" width="10.625" style="3" customWidth="1"/>
    <col min="4880" max="4880" width="9" style="3"/>
    <col min="4881" max="4881" width="19.5" style="3" customWidth="1"/>
    <col min="4882" max="4882" width="16.75" style="3" customWidth="1"/>
    <col min="4883" max="4883" width="16.5" style="3" customWidth="1"/>
    <col min="4884" max="5120" width="9" style="3"/>
    <col min="5121" max="5121" width="1.875" style="3" customWidth="1"/>
    <col min="5122" max="5122" width="10" style="3" customWidth="1"/>
    <col min="5123" max="5123" width="9.875" style="3" customWidth="1"/>
    <col min="5124" max="5124" width="10.875" style="3" customWidth="1"/>
    <col min="5125" max="5125" width="10.5" style="3" customWidth="1"/>
    <col min="5126" max="5126" width="11" style="3" customWidth="1"/>
    <col min="5127" max="5127" width="9" style="3"/>
    <col min="5128" max="5128" width="10.625" style="3" customWidth="1"/>
    <col min="5129" max="5129" width="10" style="3" customWidth="1"/>
    <col min="5130" max="5130" width="9.875" style="3" customWidth="1"/>
    <col min="5131" max="5131" width="10.875" style="3" customWidth="1"/>
    <col min="5132" max="5132" width="10.5" style="3" customWidth="1"/>
    <col min="5133" max="5133" width="11" style="3" customWidth="1"/>
    <col min="5134" max="5134" width="9" style="3"/>
    <col min="5135" max="5135" width="10.625" style="3" customWidth="1"/>
    <col min="5136" max="5136" width="9" style="3"/>
    <col min="5137" max="5137" width="19.5" style="3" customWidth="1"/>
    <col min="5138" max="5138" width="16.75" style="3" customWidth="1"/>
    <col min="5139" max="5139" width="16.5" style="3" customWidth="1"/>
    <col min="5140" max="5376" width="9" style="3"/>
    <col min="5377" max="5377" width="1.875" style="3" customWidth="1"/>
    <col min="5378" max="5378" width="10" style="3" customWidth="1"/>
    <col min="5379" max="5379" width="9.875" style="3" customWidth="1"/>
    <col min="5380" max="5380" width="10.875" style="3" customWidth="1"/>
    <col min="5381" max="5381" width="10.5" style="3" customWidth="1"/>
    <col min="5382" max="5382" width="11" style="3" customWidth="1"/>
    <col min="5383" max="5383" width="9" style="3"/>
    <col min="5384" max="5384" width="10.625" style="3" customWidth="1"/>
    <col min="5385" max="5385" width="10" style="3" customWidth="1"/>
    <col min="5386" max="5386" width="9.875" style="3" customWidth="1"/>
    <col min="5387" max="5387" width="10.875" style="3" customWidth="1"/>
    <col min="5388" max="5388" width="10.5" style="3" customWidth="1"/>
    <col min="5389" max="5389" width="11" style="3" customWidth="1"/>
    <col min="5390" max="5390" width="9" style="3"/>
    <col min="5391" max="5391" width="10.625" style="3" customWidth="1"/>
    <col min="5392" max="5392" width="9" style="3"/>
    <col min="5393" max="5393" width="19.5" style="3" customWidth="1"/>
    <col min="5394" max="5394" width="16.75" style="3" customWidth="1"/>
    <col min="5395" max="5395" width="16.5" style="3" customWidth="1"/>
    <col min="5396" max="5632" width="9" style="3"/>
    <col min="5633" max="5633" width="1.875" style="3" customWidth="1"/>
    <col min="5634" max="5634" width="10" style="3" customWidth="1"/>
    <col min="5635" max="5635" width="9.875" style="3" customWidth="1"/>
    <col min="5636" max="5636" width="10.875" style="3" customWidth="1"/>
    <col min="5637" max="5637" width="10.5" style="3" customWidth="1"/>
    <col min="5638" max="5638" width="11" style="3" customWidth="1"/>
    <col min="5639" max="5639" width="9" style="3"/>
    <col min="5640" max="5640" width="10.625" style="3" customWidth="1"/>
    <col min="5641" max="5641" width="10" style="3" customWidth="1"/>
    <col min="5642" max="5642" width="9.875" style="3" customWidth="1"/>
    <col min="5643" max="5643" width="10.875" style="3" customWidth="1"/>
    <col min="5644" max="5644" width="10.5" style="3" customWidth="1"/>
    <col min="5645" max="5645" width="11" style="3" customWidth="1"/>
    <col min="5646" max="5646" width="9" style="3"/>
    <col min="5647" max="5647" width="10.625" style="3" customWidth="1"/>
    <col min="5648" max="5648" width="9" style="3"/>
    <col min="5649" max="5649" width="19.5" style="3" customWidth="1"/>
    <col min="5650" max="5650" width="16.75" style="3" customWidth="1"/>
    <col min="5651" max="5651" width="16.5" style="3" customWidth="1"/>
    <col min="5652" max="5888" width="9" style="3"/>
    <col min="5889" max="5889" width="1.875" style="3" customWidth="1"/>
    <col min="5890" max="5890" width="10" style="3" customWidth="1"/>
    <col min="5891" max="5891" width="9.875" style="3" customWidth="1"/>
    <col min="5892" max="5892" width="10.875" style="3" customWidth="1"/>
    <col min="5893" max="5893" width="10.5" style="3" customWidth="1"/>
    <col min="5894" max="5894" width="11" style="3" customWidth="1"/>
    <col min="5895" max="5895" width="9" style="3"/>
    <col min="5896" max="5896" width="10.625" style="3" customWidth="1"/>
    <col min="5897" max="5897" width="10" style="3" customWidth="1"/>
    <col min="5898" max="5898" width="9.875" style="3" customWidth="1"/>
    <col min="5899" max="5899" width="10.875" style="3" customWidth="1"/>
    <col min="5900" max="5900" width="10.5" style="3" customWidth="1"/>
    <col min="5901" max="5901" width="11" style="3" customWidth="1"/>
    <col min="5902" max="5902" width="9" style="3"/>
    <col min="5903" max="5903" width="10.625" style="3" customWidth="1"/>
    <col min="5904" max="5904" width="9" style="3"/>
    <col min="5905" max="5905" width="19.5" style="3" customWidth="1"/>
    <col min="5906" max="5906" width="16.75" style="3" customWidth="1"/>
    <col min="5907" max="5907" width="16.5" style="3" customWidth="1"/>
    <col min="5908" max="6144" width="9" style="3"/>
    <col min="6145" max="6145" width="1.875" style="3" customWidth="1"/>
    <col min="6146" max="6146" width="10" style="3" customWidth="1"/>
    <col min="6147" max="6147" width="9.875" style="3" customWidth="1"/>
    <col min="6148" max="6148" width="10.875" style="3" customWidth="1"/>
    <col min="6149" max="6149" width="10.5" style="3" customWidth="1"/>
    <col min="6150" max="6150" width="11" style="3" customWidth="1"/>
    <col min="6151" max="6151" width="9" style="3"/>
    <col min="6152" max="6152" width="10.625" style="3" customWidth="1"/>
    <col min="6153" max="6153" width="10" style="3" customWidth="1"/>
    <col min="6154" max="6154" width="9.875" style="3" customWidth="1"/>
    <col min="6155" max="6155" width="10.875" style="3" customWidth="1"/>
    <col min="6156" max="6156" width="10.5" style="3" customWidth="1"/>
    <col min="6157" max="6157" width="11" style="3" customWidth="1"/>
    <col min="6158" max="6158" width="9" style="3"/>
    <col min="6159" max="6159" width="10.625" style="3" customWidth="1"/>
    <col min="6160" max="6160" width="9" style="3"/>
    <col min="6161" max="6161" width="19.5" style="3" customWidth="1"/>
    <col min="6162" max="6162" width="16.75" style="3" customWidth="1"/>
    <col min="6163" max="6163" width="16.5" style="3" customWidth="1"/>
    <col min="6164" max="6400" width="9" style="3"/>
    <col min="6401" max="6401" width="1.875" style="3" customWidth="1"/>
    <col min="6402" max="6402" width="10" style="3" customWidth="1"/>
    <col min="6403" max="6403" width="9.875" style="3" customWidth="1"/>
    <col min="6404" max="6404" width="10.875" style="3" customWidth="1"/>
    <col min="6405" max="6405" width="10.5" style="3" customWidth="1"/>
    <col min="6406" max="6406" width="11" style="3" customWidth="1"/>
    <col min="6407" max="6407" width="9" style="3"/>
    <col min="6408" max="6408" width="10.625" style="3" customWidth="1"/>
    <col min="6409" max="6409" width="10" style="3" customWidth="1"/>
    <col min="6410" max="6410" width="9.875" style="3" customWidth="1"/>
    <col min="6411" max="6411" width="10.875" style="3" customWidth="1"/>
    <col min="6412" max="6412" width="10.5" style="3" customWidth="1"/>
    <col min="6413" max="6413" width="11" style="3" customWidth="1"/>
    <col min="6414" max="6414" width="9" style="3"/>
    <col min="6415" max="6415" width="10.625" style="3" customWidth="1"/>
    <col min="6416" max="6416" width="9" style="3"/>
    <col min="6417" max="6417" width="19.5" style="3" customWidth="1"/>
    <col min="6418" max="6418" width="16.75" style="3" customWidth="1"/>
    <col min="6419" max="6419" width="16.5" style="3" customWidth="1"/>
    <col min="6420" max="6656" width="9" style="3"/>
    <col min="6657" max="6657" width="1.875" style="3" customWidth="1"/>
    <col min="6658" max="6658" width="10" style="3" customWidth="1"/>
    <col min="6659" max="6659" width="9.875" style="3" customWidth="1"/>
    <col min="6660" max="6660" width="10.875" style="3" customWidth="1"/>
    <col min="6661" max="6661" width="10.5" style="3" customWidth="1"/>
    <col min="6662" max="6662" width="11" style="3" customWidth="1"/>
    <col min="6663" max="6663" width="9" style="3"/>
    <col min="6664" max="6664" width="10.625" style="3" customWidth="1"/>
    <col min="6665" max="6665" width="10" style="3" customWidth="1"/>
    <col min="6666" max="6666" width="9.875" style="3" customWidth="1"/>
    <col min="6667" max="6667" width="10.875" style="3" customWidth="1"/>
    <col min="6668" max="6668" width="10.5" style="3" customWidth="1"/>
    <col min="6669" max="6669" width="11" style="3" customWidth="1"/>
    <col min="6670" max="6670" width="9" style="3"/>
    <col min="6671" max="6671" width="10.625" style="3" customWidth="1"/>
    <col min="6672" max="6672" width="9" style="3"/>
    <col min="6673" max="6673" width="19.5" style="3" customWidth="1"/>
    <col min="6674" max="6674" width="16.75" style="3" customWidth="1"/>
    <col min="6675" max="6675" width="16.5" style="3" customWidth="1"/>
    <col min="6676" max="6912" width="9" style="3"/>
    <col min="6913" max="6913" width="1.875" style="3" customWidth="1"/>
    <col min="6914" max="6914" width="10" style="3" customWidth="1"/>
    <col min="6915" max="6915" width="9.875" style="3" customWidth="1"/>
    <col min="6916" max="6916" width="10.875" style="3" customWidth="1"/>
    <col min="6917" max="6917" width="10.5" style="3" customWidth="1"/>
    <col min="6918" max="6918" width="11" style="3" customWidth="1"/>
    <col min="6919" max="6919" width="9" style="3"/>
    <col min="6920" max="6920" width="10.625" style="3" customWidth="1"/>
    <col min="6921" max="6921" width="10" style="3" customWidth="1"/>
    <col min="6922" max="6922" width="9.875" style="3" customWidth="1"/>
    <col min="6923" max="6923" width="10.875" style="3" customWidth="1"/>
    <col min="6924" max="6924" width="10.5" style="3" customWidth="1"/>
    <col min="6925" max="6925" width="11" style="3" customWidth="1"/>
    <col min="6926" max="6926" width="9" style="3"/>
    <col min="6927" max="6927" width="10.625" style="3" customWidth="1"/>
    <col min="6928" max="6928" width="9" style="3"/>
    <col min="6929" max="6929" width="19.5" style="3" customWidth="1"/>
    <col min="6930" max="6930" width="16.75" style="3" customWidth="1"/>
    <col min="6931" max="6931" width="16.5" style="3" customWidth="1"/>
    <col min="6932" max="7168" width="9" style="3"/>
    <col min="7169" max="7169" width="1.875" style="3" customWidth="1"/>
    <col min="7170" max="7170" width="10" style="3" customWidth="1"/>
    <col min="7171" max="7171" width="9.875" style="3" customWidth="1"/>
    <col min="7172" max="7172" width="10.875" style="3" customWidth="1"/>
    <col min="7173" max="7173" width="10.5" style="3" customWidth="1"/>
    <col min="7174" max="7174" width="11" style="3" customWidth="1"/>
    <col min="7175" max="7175" width="9" style="3"/>
    <col min="7176" max="7176" width="10.625" style="3" customWidth="1"/>
    <col min="7177" max="7177" width="10" style="3" customWidth="1"/>
    <col min="7178" max="7178" width="9.875" style="3" customWidth="1"/>
    <col min="7179" max="7179" width="10.875" style="3" customWidth="1"/>
    <col min="7180" max="7180" width="10.5" style="3" customWidth="1"/>
    <col min="7181" max="7181" width="11" style="3" customWidth="1"/>
    <col min="7182" max="7182" width="9" style="3"/>
    <col min="7183" max="7183" width="10.625" style="3" customWidth="1"/>
    <col min="7184" max="7184" width="9" style="3"/>
    <col min="7185" max="7185" width="19.5" style="3" customWidth="1"/>
    <col min="7186" max="7186" width="16.75" style="3" customWidth="1"/>
    <col min="7187" max="7187" width="16.5" style="3" customWidth="1"/>
    <col min="7188" max="7424" width="9" style="3"/>
    <col min="7425" max="7425" width="1.875" style="3" customWidth="1"/>
    <col min="7426" max="7426" width="10" style="3" customWidth="1"/>
    <col min="7427" max="7427" width="9.875" style="3" customWidth="1"/>
    <col min="7428" max="7428" width="10.875" style="3" customWidth="1"/>
    <col min="7429" max="7429" width="10.5" style="3" customWidth="1"/>
    <col min="7430" max="7430" width="11" style="3" customWidth="1"/>
    <col min="7431" max="7431" width="9" style="3"/>
    <col min="7432" max="7432" width="10.625" style="3" customWidth="1"/>
    <col min="7433" max="7433" width="10" style="3" customWidth="1"/>
    <col min="7434" max="7434" width="9.875" style="3" customWidth="1"/>
    <col min="7435" max="7435" width="10.875" style="3" customWidth="1"/>
    <col min="7436" max="7436" width="10.5" style="3" customWidth="1"/>
    <col min="7437" max="7437" width="11" style="3" customWidth="1"/>
    <col min="7438" max="7438" width="9" style="3"/>
    <col min="7439" max="7439" width="10.625" style="3" customWidth="1"/>
    <col min="7440" max="7440" width="9" style="3"/>
    <col min="7441" max="7441" width="19.5" style="3" customWidth="1"/>
    <col min="7442" max="7442" width="16.75" style="3" customWidth="1"/>
    <col min="7443" max="7443" width="16.5" style="3" customWidth="1"/>
    <col min="7444" max="7680" width="9" style="3"/>
    <col min="7681" max="7681" width="1.875" style="3" customWidth="1"/>
    <col min="7682" max="7682" width="10" style="3" customWidth="1"/>
    <col min="7683" max="7683" width="9.875" style="3" customWidth="1"/>
    <col min="7684" max="7684" width="10.875" style="3" customWidth="1"/>
    <col min="7685" max="7685" width="10.5" style="3" customWidth="1"/>
    <col min="7686" max="7686" width="11" style="3" customWidth="1"/>
    <col min="7687" max="7687" width="9" style="3"/>
    <col min="7688" max="7688" width="10.625" style="3" customWidth="1"/>
    <col min="7689" max="7689" width="10" style="3" customWidth="1"/>
    <col min="7690" max="7690" width="9.875" style="3" customWidth="1"/>
    <col min="7691" max="7691" width="10.875" style="3" customWidth="1"/>
    <col min="7692" max="7692" width="10.5" style="3" customWidth="1"/>
    <col min="7693" max="7693" width="11" style="3" customWidth="1"/>
    <col min="7694" max="7694" width="9" style="3"/>
    <col min="7695" max="7695" width="10.625" style="3" customWidth="1"/>
    <col min="7696" max="7696" width="9" style="3"/>
    <col min="7697" max="7697" width="19.5" style="3" customWidth="1"/>
    <col min="7698" max="7698" width="16.75" style="3" customWidth="1"/>
    <col min="7699" max="7699" width="16.5" style="3" customWidth="1"/>
    <col min="7700" max="7936" width="9" style="3"/>
    <col min="7937" max="7937" width="1.875" style="3" customWidth="1"/>
    <col min="7938" max="7938" width="10" style="3" customWidth="1"/>
    <col min="7939" max="7939" width="9.875" style="3" customWidth="1"/>
    <col min="7940" max="7940" width="10.875" style="3" customWidth="1"/>
    <col min="7941" max="7941" width="10.5" style="3" customWidth="1"/>
    <col min="7942" max="7942" width="11" style="3" customWidth="1"/>
    <col min="7943" max="7943" width="9" style="3"/>
    <col min="7944" max="7944" width="10.625" style="3" customWidth="1"/>
    <col min="7945" max="7945" width="10" style="3" customWidth="1"/>
    <col min="7946" max="7946" width="9.875" style="3" customWidth="1"/>
    <col min="7947" max="7947" width="10.875" style="3" customWidth="1"/>
    <col min="7948" max="7948" width="10.5" style="3" customWidth="1"/>
    <col min="7949" max="7949" width="11" style="3" customWidth="1"/>
    <col min="7950" max="7950" width="9" style="3"/>
    <col min="7951" max="7951" width="10.625" style="3" customWidth="1"/>
    <col min="7952" max="7952" width="9" style="3"/>
    <col min="7953" max="7953" width="19.5" style="3" customWidth="1"/>
    <col min="7954" max="7954" width="16.75" style="3" customWidth="1"/>
    <col min="7955" max="7955" width="16.5" style="3" customWidth="1"/>
    <col min="7956" max="8192" width="9" style="3"/>
    <col min="8193" max="8193" width="1.875" style="3" customWidth="1"/>
    <col min="8194" max="8194" width="10" style="3" customWidth="1"/>
    <col min="8195" max="8195" width="9.875" style="3" customWidth="1"/>
    <col min="8196" max="8196" width="10.875" style="3" customWidth="1"/>
    <col min="8197" max="8197" width="10.5" style="3" customWidth="1"/>
    <col min="8198" max="8198" width="11" style="3" customWidth="1"/>
    <col min="8199" max="8199" width="9" style="3"/>
    <col min="8200" max="8200" width="10.625" style="3" customWidth="1"/>
    <col min="8201" max="8201" width="10" style="3" customWidth="1"/>
    <col min="8202" max="8202" width="9.875" style="3" customWidth="1"/>
    <col min="8203" max="8203" width="10.875" style="3" customWidth="1"/>
    <col min="8204" max="8204" width="10.5" style="3" customWidth="1"/>
    <col min="8205" max="8205" width="11" style="3" customWidth="1"/>
    <col min="8206" max="8206" width="9" style="3"/>
    <col min="8207" max="8207" width="10.625" style="3" customWidth="1"/>
    <col min="8208" max="8208" width="9" style="3"/>
    <col min="8209" max="8209" width="19.5" style="3" customWidth="1"/>
    <col min="8210" max="8210" width="16.75" style="3" customWidth="1"/>
    <col min="8211" max="8211" width="16.5" style="3" customWidth="1"/>
    <col min="8212" max="8448" width="9" style="3"/>
    <col min="8449" max="8449" width="1.875" style="3" customWidth="1"/>
    <col min="8450" max="8450" width="10" style="3" customWidth="1"/>
    <col min="8451" max="8451" width="9.875" style="3" customWidth="1"/>
    <col min="8452" max="8452" width="10.875" style="3" customWidth="1"/>
    <col min="8453" max="8453" width="10.5" style="3" customWidth="1"/>
    <col min="8454" max="8454" width="11" style="3" customWidth="1"/>
    <col min="8455" max="8455" width="9" style="3"/>
    <col min="8456" max="8456" width="10.625" style="3" customWidth="1"/>
    <col min="8457" max="8457" width="10" style="3" customWidth="1"/>
    <col min="8458" max="8458" width="9.875" style="3" customWidth="1"/>
    <col min="8459" max="8459" width="10.875" style="3" customWidth="1"/>
    <col min="8460" max="8460" width="10.5" style="3" customWidth="1"/>
    <col min="8461" max="8461" width="11" style="3" customWidth="1"/>
    <col min="8462" max="8462" width="9" style="3"/>
    <col min="8463" max="8463" width="10.625" style="3" customWidth="1"/>
    <col min="8464" max="8464" width="9" style="3"/>
    <col min="8465" max="8465" width="19.5" style="3" customWidth="1"/>
    <col min="8466" max="8466" width="16.75" style="3" customWidth="1"/>
    <col min="8467" max="8467" width="16.5" style="3" customWidth="1"/>
    <col min="8468" max="8704" width="9" style="3"/>
    <col min="8705" max="8705" width="1.875" style="3" customWidth="1"/>
    <col min="8706" max="8706" width="10" style="3" customWidth="1"/>
    <col min="8707" max="8707" width="9.875" style="3" customWidth="1"/>
    <col min="8708" max="8708" width="10.875" style="3" customWidth="1"/>
    <col min="8709" max="8709" width="10.5" style="3" customWidth="1"/>
    <col min="8710" max="8710" width="11" style="3" customWidth="1"/>
    <col min="8711" max="8711" width="9" style="3"/>
    <col min="8712" max="8712" width="10.625" style="3" customWidth="1"/>
    <col min="8713" max="8713" width="10" style="3" customWidth="1"/>
    <col min="8714" max="8714" width="9.875" style="3" customWidth="1"/>
    <col min="8715" max="8715" width="10.875" style="3" customWidth="1"/>
    <col min="8716" max="8716" width="10.5" style="3" customWidth="1"/>
    <col min="8717" max="8717" width="11" style="3" customWidth="1"/>
    <col min="8718" max="8718" width="9" style="3"/>
    <col min="8719" max="8719" width="10.625" style="3" customWidth="1"/>
    <col min="8720" max="8720" width="9" style="3"/>
    <col min="8721" max="8721" width="19.5" style="3" customWidth="1"/>
    <col min="8722" max="8722" width="16.75" style="3" customWidth="1"/>
    <col min="8723" max="8723" width="16.5" style="3" customWidth="1"/>
    <col min="8724" max="8960" width="9" style="3"/>
    <col min="8961" max="8961" width="1.875" style="3" customWidth="1"/>
    <col min="8962" max="8962" width="10" style="3" customWidth="1"/>
    <col min="8963" max="8963" width="9.875" style="3" customWidth="1"/>
    <col min="8964" max="8964" width="10.875" style="3" customWidth="1"/>
    <col min="8965" max="8965" width="10.5" style="3" customWidth="1"/>
    <col min="8966" max="8966" width="11" style="3" customWidth="1"/>
    <col min="8967" max="8967" width="9" style="3"/>
    <col min="8968" max="8968" width="10.625" style="3" customWidth="1"/>
    <col min="8969" max="8969" width="10" style="3" customWidth="1"/>
    <col min="8970" max="8970" width="9.875" style="3" customWidth="1"/>
    <col min="8971" max="8971" width="10.875" style="3" customWidth="1"/>
    <col min="8972" max="8972" width="10.5" style="3" customWidth="1"/>
    <col min="8973" max="8973" width="11" style="3" customWidth="1"/>
    <col min="8974" max="8974" width="9" style="3"/>
    <col min="8975" max="8975" width="10.625" style="3" customWidth="1"/>
    <col min="8976" max="8976" width="9" style="3"/>
    <col min="8977" max="8977" width="19.5" style="3" customWidth="1"/>
    <col min="8978" max="8978" width="16.75" style="3" customWidth="1"/>
    <col min="8979" max="8979" width="16.5" style="3" customWidth="1"/>
    <col min="8980" max="9216" width="9" style="3"/>
    <col min="9217" max="9217" width="1.875" style="3" customWidth="1"/>
    <col min="9218" max="9218" width="10" style="3" customWidth="1"/>
    <col min="9219" max="9219" width="9.875" style="3" customWidth="1"/>
    <col min="9220" max="9220" width="10.875" style="3" customWidth="1"/>
    <col min="9221" max="9221" width="10.5" style="3" customWidth="1"/>
    <col min="9222" max="9222" width="11" style="3" customWidth="1"/>
    <col min="9223" max="9223" width="9" style="3"/>
    <col min="9224" max="9224" width="10.625" style="3" customWidth="1"/>
    <col min="9225" max="9225" width="10" style="3" customWidth="1"/>
    <col min="9226" max="9226" width="9.875" style="3" customWidth="1"/>
    <col min="9227" max="9227" width="10.875" style="3" customWidth="1"/>
    <col min="9228" max="9228" width="10.5" style="3" customWidth="1"/>
    <col min="9229" max="9229" width="11" style="3" customWidth="1"/>
    <col min="9230" max="9230" width="9" style="3"/>
    <col min="9231" max="9231" width="10.625" style="3" customWidth="1"/>
    <col min="9232" max="9232" width="9" style="3"/>
    <col min="9233" max="9233" width="19.5" style="3" customWidth="1"/>
    <col min="9234" max="9234" width="16.75" style="3" customWidth="1"/>
    <col min="9235" max="9235" width="16.5" style="3" customWidth="1"/>
    <col min="9236" max="9472" width="9" style="3"/>
    <col min="9473" max="9473" width="1.875" style="3" customWidth="1"/>
    <col min="9474" max="9474" width="10" style="3" customWidth="1"/>
    <col min="9475" max="9475" width="9.875" style="3" customWidth="1"/>
    <col min="9476" max="9476" width="10.875" style="3" customWidth="1"/>
    <col min="9477" max="9477" width="10.5" style="3" customWidth="1"/>
    <col min="9478" max="9478" width="11" style="3" customWidth="1"/>
    <col min="9479" max="9479" width="9" style="3"/>
    <col min="9480" max="9480" width="10.625" style="3" customWidth="1"/>
    <col min="9481" max="9481" width="10" style="3" customWidth="1"/>
    <col min="9482" max="9482" width="9.875" style="3" customWidth="1"/>
    <col min="9483" max="9483" width="10.875" style="3" customWidth="1"/>
    <col min="9484" max="9484" width="10.5" style="3" customWidth="1"/>
    <col min="9485" max="9485" width="11" style="3" customWidth="1"/>
    <col min="9486" max="9486" width="9" style="3"/>
    <col min="9487" max="9487" width="10.625" style="3" customWidth="1"/>
    <col min="9488" max="9488" width="9" style="3"/>
    <col min="9489" max="9489" width="19.5" style="3" customWidth="1"/>
    <col min="9490" max="9490" width="16.75" style="3" customWidth="1"/>
    <col min="9491" max="9491" width="16.5" style="3" customWidth="1"/>
    <col min="9492" max="9728" width="9" style="3"/>
    <col min="9729" max="9729" width="1.875" style="3" customWidth="1"/>
    <col min="9730" max="9730" width="10" style="3" customWidth="1"/>
    <col min="9731" max="9731" width="9.875" style="3" customWidth="1"/>
    <col min="9732" max="9732" width="10.875" style="3" customWidth="1"/>
    <col min="9733" max="9733" width="10.5" style="3" customWidth="1"/>
    <col min="9734" max="9734" width="11" style="3" customWidth="1"/>
    <col min="9735" max="9735" width="9" style="3"/>
    <col min="9736" max="9736" width="10.625" style="3" customWidth="1"/>
    <col min="9737" max="9737" width="10" style="3" customWidth="1"/>
    <col min="9738" max="9738" width="9.875" style="3" customWidth="1"/>
    <col min="9739" max="9739" width="10.875" style="3" customWidth="1"/>
    <col min="9740" max="9740" width="10.5" style="3" customWidth="1"/>
    <col min="9741" max="9741" width="11" style="3" customWidth="1"/>
    <col min="9742" max="9742" width="9" style="3"/>
    <col min="9743" max="9743" width="10.625" style="3" customWidth="1"/>
    <col min="9744" max="9744" width="9" style="3"/>
    <col min="9745" max="9745" width="19.5" style="3" customWidth="1"/>
    <col min="9746" max="9746" width="16.75" style="3" customWidth="1"/>
    <col min="9747" max="9747" width="16.5" style="3" customWidth="1"/>
    <col min="9748" max="9984" width="9" style="3"/>
    <col min="9985" max="9985" width="1.875" style="3" customWidth="1"/>
    <col min="9986" max="9986" width="10" style="3" customWidth="1"/>
    <col min="9987" max="9987" width="9.875" style="3" customWidth="1"/>
    <col min="9988" max="9988" width="10.875" style="3" customWidth="1"/>
    <col min="9989" max="9989" width="10.5" style="3" customWidth="1"/>
    <col min="9990" max="9990" width="11" style="3" customWidth="1"/>
    <col min="9991" max="9991" width="9" style="3"/>
    <col min="9992" max="9992" width="10.625" style="3" customWidth="1"/>
    <col min="9993" max="9993" width="10" style="3" customWidth="1"/>
    <col min="9994" max="9994" width="9.875" style="3" customWidth="1"/>
    <col min="9995" max="9995" width="10.875" style="3" customWidth="1"/>
    <col min="9996" max="9996" width="10.5" style="3" customWidth="1"/>
    <col min="9997" max="9997" width="11" style="3" customWidth="1"/>
    <col min="9998" max="9998" width="9" style="3"/>
    <col min="9999" max="9999" width="10.625" style="3" customWidth="1"/>
    <col min="10000" max="10000" width="9" style="3"/>
    <col min="10001" max="10001" width="19.5" style="3" customWidth="1"/>
    <col min="10002" max="10002" width="16.75" style="3" customWidth="1"/>
    <col min="10003" max="10003" width="16.5" style="3" customWidth="1"/>
    <col min="10004" max="10240" width="9" style="3"/>
    <col min="10241" max="10241" width="1.875" style="3" customWidth="1"/>
    <col min="10242" max="10242" width="10" style="3" customWidth="1"/>
    <col min="10243" max="10243" width="9.875" style="3" customWidth="1"/>
    <col min="10244" max="10244" width="10.875" style="3" customWidth="1"/>
    <col min="10245" max="10245" width="10.5" style="3" customWidth="1"/>
    <col min="10246" max="10246" width="11" style="3" customWidth="1"/>
    <col min="10247" max="10247" width="9" style="3"/>
    <col min="10248" max="10248" width="10.625" style="3" customWidth="1"/>
    <col min="10249" max="10249" width="10" style="3" customWidth="1"/>
    <col min="10250" max="10250" width="9.875" style="3" customWidth="1"/>
    <col min="10251" max="10251" width="10.875" style="3" customWidth="1"/>
    <col min="10252" max="10252" width="10.5" style="3" customWidth="1"/>
    <col min="10253" max="10253" width="11" style="3" customWidth="1"/>
    <col min="10254" max="10254" width="9" style="3"/>
    <col min="10255" max="10255" width="10.625" style="3" customWidth="1"/>
    <col min="10256" max="10256" width="9" style="3"/>
    <col min="10257" max="10257" width="19.5" style="3" customWidth="1"/>
    <col min="10258" max="10258" width="16.75" style="3" customWidth="1"/>
    <col min="10259" max="10259" width="16.5" style="3" customWidth="1"/>
    <col min="10260" max="10496" width="9" style="3"/>
    <col min="10497" max="10497" width="1.875" style="3" customWidth="1"/>
    <col min="10498" max="10498" width="10" style="3" customWidth="1"/>
    <col min="10499" max="10499" width="9.875" style="3" customWidth="1"/>
    <col min="10500" max="10500" width="10.875" style="3" customWidth="1"/>
    <col min="10501" max="10501" width="10.5" style="3" customWidth="1"/>
    <col min="10502" max="10502" width="11" style="3" customWidth="1"/>
    <col min="10503" max="10503" width="9" style="3"/>
    <col min="10504" max="10504" width="10.625" style="3" customWidth="1"/>
    <col min="10505" max="10505" width="10" style="3" customWidth="1"/>
    <col min="10506" max="10506" width="9.875" style="3" customWidth="1"/>
    <col min="10507" max="10507" width="10.875" style="3" customWidth="1"/>
    <col min="10508" max="10508" width="10.5" style="3" customWidth="1"/>
    <col min="10509" max="10509" width="11" style="3" customWidth="1"/>
    <col min="10510" max="10510" width="9" style="3"/>
    <col min="10511" max="10511" width="10.625" style="3" customWidth="1"/>
    <col min="10512" max="10512" width="9" style="3"/>
    <col min="10513" max="10513" width="19.5" style="3" customWidth="1"/>
    <col min="10514" max="10514" width="16.75" style="3" customWidth="1"/>
    <col min="10515" max="10515" width="16.5" style="3" customWidth="1"/>
    <col min="10516" max="10752" width="9" style="3"/>
    <col min="10753" max="10753" width="1.875" style="3" customWidth="1"/>
    <col min="10754" max="10754" width="10" style="3" customWidth="1"/>
    <col min="10755" max="10755" width="9.875" style="3" customWidth="1"/>
    <col min="10756" max="10756" width="10.875" style="3" customWidth="1"/>
    <col min="10757" max="10757" width="10.5" style="3" customWidth="1"/>
    <col min="10758" max="10758" width="11" style="3" customWidth="1"/>
    <col min="10759" max="10759" width="9" style="3"/>
    <col min="10760" max="10760" width="10.625" style="3" customWidth="1"/>
    <col min="10761" max="10761" width="10" style="3" customWidth="1"/>
    <col min="10762" max="10762" width="9.875" style="3" customWidth="1"/>
    <col min="10763" max="10763" width="10.875" style="3" customWidth="1"/>
    <col min="10764" max="10764" width="10.5" style="3" customWidth="1"/>
    <col min="10765" max="10765" width="11" style="3" customWidth="1"/>
    <col min="10766" max="10766" width="9" style="3"/>
    <col min="10767" max="10767" width="10.625" style="3" customWidth="1"/>
    <col min="10768" max="10768" width="9" style="3"/>
    <col min="10769" max="10769" width="19.5" style="3" customWidth="1"/>
    <col min="10770" max="10770" width="16.75" style="3" customWidth="1"/>
    <col min="10771" max="10771" width="16.5" style="3" customWidth="1"/>
    <col min="10772" max="11008" width="9" style="3"/>
    <col min="11009" max="11009" width="1.875" style="3" customWidth="1"/>
    <col min="11010" max="11010" width="10" style="3" customWidth="1"/>
    <col min="11011" max="11011" width="9.875" style="3" customWidth="1"/>
    <col min="11012" max="11012" width="10.875" style="3" customWidth="1"/>
    <col min="11013" max="11013" width="10.5" style="3" customWidth="1"/>
    <col min="11014" max="11014" width="11" style="3" customWidth="1"/>
    <col min="11015" max="11015" width="9" style="3"/>
    <col min="11016" max="11016" width="10.625" style="3" customWidth="1"/>
    <col min="11017" max="11017" width="10" style="3" customWidth="1"/>
    <col min="11018" max="11018" width="9.875" style="3" customWidth="1"/>
    <col min="11019" max="11019" width="10.875" style="3" customWidth="1"/>
    <col min="11020" max="11020" width="10.5" style="3" customWidth="1"/>
    <col min="11021" max="11021" width="11" style="3" customWidth="1"/>
    <col min="11022" max="11022" width="9" style="3"/>
    <col min="11023" max="11023" width="10.625" style="3" customWidth="1"/>
    <col min="11024" max="11024" width="9" style="3"/>
    <col min="11025" max="11025" width="19.5" style="3" customWidth="1"/>
    <col min="11026" max="11026" width="16.75" style="3" customWidth="1"/>
    <col min="11027" max="11027" width="16.5" style="3" customWidth="1"/>
    <col min="11028" max="11264" width="9" style="3"/>
    <col min="11265" max="11265" width="1.875" style="3" customWidth="1"/>
    <col min="11266" max="11266" width="10" style="3" customWidth="1"/>
    <col min="11267" max="11267" width="9.875" style="3" customWidth="1"/>
    <col min="11268" max="11268" width="10.875" style="3" customWidth="1"/>
    <col min="11269" max="11269" width="10.5" style="3" customWidth="1"/>
    <col min="11270" max="11270" width="11" style="3" customWidth="1"/>
    <col min="11271" max="11271" width="9" style="3"/>
    <col min="11272" max="11272" width="10.625" style="3" customWidth="1"/>
    <col min="11273" max="11273" width="10" style="3" customWidth="1"/>
    <col min="11274" max="11274" width="9.875" style="3" customWidth="1"/>
    <col min="11275" max="11275" width="10.875" style="3" customWidth="1"/>
    <col min="11276" max="11276" width="10.5" style="3" customWidth="1"/>
    <col min="11277" max="11277" width="11" style="3" customWidth="1"/>
    <col min="11278" max="11278" width="9" style="3"/>
    <col min="11279" max="11279" width="10.625" style="3" customWidth="1"/>
    <col min="11280" max="11280" width="9" style="3"/>
    <col min="11281" max="11281" width="19.5" style="3" customWidth="1"/>
    <col min="11282" max="11282" width="16.75" style="3" customWidth="1"/>
    <col min="11283" max="11283" width="16.5" style="3" customWidth="1"/>
    <col min="11284" max="11520" width="9" style="3"/>
    <col min="11521" max="11521" width="1.875" style="3" customWidth="1"/>
    <col min="11522" max="11522" width="10" style="3" customWidth="1"/>
    <col min="11523" max="11523" width="9.875" style="3" customWidth="1"/>
    <col min="11524" max="11524" width="10.875" style="3" customWidth="1"/>
    <col min="11525" max="11525" width="10.5" style="3" customWidth="1"/>
    <col min="11526" max="11526" width="11" style="3" customWidth="1"/>
    <col min="11527" max="11527" width="9" style="3"/>
    <col min="11528" max="11528" width="10.625" style="3" customWidth="1"/>
    <col min="11529" max="11529" width="10" style="3" customWidth="1"/>
    <col min="11530" max="11530" width="9.875" style="3" customWidth="1"/>
    <col min="11531" max="11531" width="10.875" style="3" customWidth="1"/>
    <col min="11532" max="11532" width="10.5" style="3" customWidth="1"/>
    <col min="11533" max="11533" width="11" style="3" customWidth="1"/>
    <col min="11534" max="11534" width="9" style="3"/>
    <col min="11535" max="11535" width="10.625" style="3" customWidth="1"/>
    <col min="11536" max="11536" width="9" style="3"/>
    <col min="11537" max="11537" width="19.5" style="3" customWidth="1"/>
    <col min="11538" max="11538" width="16.75" style="3" customWidth="1"/>
    <col min="11539" max="11539" width="16.5" style="3" customWidth="1"/>
    <col min="11540" max="11776" width="9" style="3"/>
    <col min="11777" max="11777" width="1.875" style="3" customWidth="1"/>
    <col min="11778" max="11778" width="10" style="3" customWidth="1"/>
    <col min="11779" max="11779" width="9.875" style="3" customWidth="1"/>
    <col min="11780" max="11780" width="10.875" style="3" customWidth="1"/>
    <col min="11781" max="11781" width="10.5" style="3" customWidth="1"/>
    <col min="11782" max="11782" width="11" style="3" customWidth="1"/>
    <col min="11783" max="11783" width="9" style="3"/>
    <col min="11784" max="11784" width="10.625" style="3" customWidth="1"/>
    <col min="11785" max="11785" width="10" style="3" customWidth="1"/>
    <col min="11786" max="11786" width="9.875" style="3" customWidth="1"/>
    <col min="11787" max="11787" width="10.875" style="3" customWidth="1"/>
    <col min="11788" max="11788" width="10.5" style="3" customWidth="1"/>
    <col min="11789" max="11789" width="11" style="3" customWidth="1"/>
    <col min="11790" max="11790" width="9" style="3"/>
    <col min="11791" max="11791" width="10.625" style="3" customWidth="1"/>
    <col min="11792" max="11792" width="9" style="3"/>
    <col min="11793" max="11793" width="19.5" style="3" customWidth="1"/>
    <col min="11794" max="11794" width="16.75" style="3" customWidth="1"/>
    <col min="11795" max="11795" width="16.5" style="3" customWidth="1"/>
    <col min="11796" max="12032" width="9" style="3"/>
    <col min="12033" max="12033" width="1.875" style="3" customWidth="1"/>
    <col min="12034" max="12034" width="10" style="3" customWidth="1"/>
    <col min="12035" max="12035" width="9.875" style="3" customWidth="1"/>
    <col min="12036" max="12036" width="10.875" style="3" customWidth="1"/>
    <col min="12037" max="12037" width="10.5" style="3" customWidth="1"/>
    <col min="12038" max="12038" width="11" style="3" customWidth="1"/>
    <col min="12039" max="12039" width="9" style="3"/>
    <col min="12040" max="12040" width="10.625" style="3" customWidth="1"/>
    <col min="12041" max="12041" width="10" style="3" customWidth="1"/>
    <col min="12042" max="12042" width="9.875" style="3" customWidth="1"/>
    <col min="12043" max="12043" width="10.875" style="3" customWidth="1"/>
    <col min="12044" max="12044" width="10.5" style="3" customWidth="1"/>
    <col min="12045" max="12045" width="11" style="3" customWidth="1"/>
    <col min="12046" max="12046" width="9" style="3"/>
    <col min="12047" max="12047" width="10.625" style="3" customWidth="1"/>
    <col min="12048" max="12048" width="9" style="3"/>
    <col min="12049" max="12049" width="19.5" style="3" customWidth="1"/>
    <col min="12050" max="12050" width="16.75" style="3" customWidth="1"/>
    <col min="12051" max="12051" width="16.5" style="3" customWidth="1"/>
    <col min="12052" max="12288" width="9" style="3"/>
    <col min="12289" max="12289" width="1.875" style="3" customWidth="1"/>
    <col min="12290" max="12290" width="10" style="3" customWidth="1"/>
    <col min="12291" max="12291" width="9.875" style="3" customWidth="1"/>
    <col min="12292" max="12292" width="10.875" style="3" customWidth="1"/>
    <col min="12293" max="12293" width="10.5" style="3" customWidth="1"/>
    <col min="12294" max="12294" width="11" style="3" customWidth="1"/>
    <col min="12295" max="12295" width="9" style="3"/>
    <col min="12296" max="12296" width="10.625" style="3" customWidth="1"/>
    <col min="12297" max="12297" width="10" style="3" customWidth="1"/>
    <col min="12298" max="12298" width="9.875" style="3" customWidth="1"/>
    <col min="12299" max="12299" width="10.875" style="3" customWidth="1"/>
    <col min="12300" max="12300" width="10.5" style="3" customWidth="1"/>
    <col min="12301" max="12301" width="11" style="3" customWidth="1"/>
    <col min="12302" max="12302" width="9" style="3"/>
    <col min="12303" max="12303" width="10.625" style="3" customWidth="1"/>
    <col min="12304" max="12304" width="9" style="3"/>
    <col min="12305" max="12305" width="19.5" style="3" customWidth="1"/>
    <col min="12306" max="12306" width="16.75" style="3" customWidth="1"/>
    <col min="12307" max="12307" width="16.5" style="3" customWidth="1"/>
    <col min="12308" max="12544" width="9" style="3"/>
    <col min="12545" max="12545" width="1.875" style="3" customWidth="1"/>
    <col min="12546" max="12546" width="10" style="3" customWidth="1"/>
    <col min="12547" max="12547" width="9.875" style="3" customWidth="1"/>
    <col min="12548" max="12548" width="10.875" style="3" customWidth="1"/>
    <col min="12549" max="12549" width="10.5" style="3" customWidth="1"/>
    <col min="12550" max="12550" width="11" style="3" customWidth="1"/>
    <col min="12551" max="12551" width="9" style="3"/>
    <col min="12552" max="12552" width="10.625" style="3" customWidth="1"/>
    <col min="12553" max="12553" width="10" style="3" customWidth="1"/>
    <col min="12554" max="12554" width="9.875" style="3" customWidth="1"/>
    <col min="12555" max="12555" width="10.875" style="3" customWidth="1"/>
    <col min="12556" max="12556" width="10.5" style="3" customWidth="1"/>
    <col min="12557" max="12557" width="11" style="3" customWidth="1"/>
    <col min="12558" max="12558" width="9" style="3"/>
    <col min="12559" max="12559" width="10.625" style="3" customWidth="1"/>
    <col min="12560" max="12560" width="9" style="3"/>
    <col min="12561" max="12561" width="19.5" style="3" customWidth="1"/>
    <col min="12562" max="12562" width="16.75" style="3" customWidth="1"/>
    <col min="12563" max="12563" width="16.5" style="3" customWidth="1"/>
    <col min="12564" max="12800" width="9" style="3"/>
    <col min="12801" max="12801" width="1.875" style="3" customWidth="1"/>
    <col min="12802" max="12802" width="10" style="3" customWidth="1"/>
    <col min="12803" max="12803" width="9.875" style="3" customWidth="1"/>
    <col min="12804" max="12804" width="10.875" style="3" customWidth="1"/>
    <col min="12805" max="12805" width="10.5" style="3" customWidth="1"/>
    <col min="12806" max="12806" width="11" style="3" customWidth="1"/>
    <col min="12807" max="12807" width="9" style="3"/>
    <col min="12808" max="12808" width="10.625" style="3" customWidth="1"/>
    <col min="12809" max="12809" width="10" style="3" customWidth="1"/>
    <col min="12810" max="12810" width="9.875" style="3" customWidth="1"/>
    <col min="12811" max="12811" width="10.875" style="3" customWidth="1"/>
    <col min="12812" max="12812" width="10.5" style="3" customWidth="1"/>
    <col min="12813" max="12813" width="11" style="3" customWidth="1"/>
    <col min="12814" max="12814" width="9" style="3"/>
    <col min="12815" max="12815" width="10.625" style="3" customWidth="1"/>
    <col min="12816" max="12816" width="9" style="3"/>
    <col min="12817" max="12817" width="19.5" style="3" customWidth="1"/>
    <col min="12818" max="12818" width="16.75" style="3" customWidth="1"/>
    <col min="12819" max="12819" width="16.5" style="3" customWidth="1"/>
    <col min="12820" max="13056" width="9" style="3"/>
    <col min="13057" max="13057" width="1.875" style="3" customWidth="1"/>
    <col min="13058" max="13058" width="10" style="3" customWidth="1"/>
    <col min="13059" max="13059" width="9.875" style="3" customWidth="1"/>
    <col min="13060" max="13060" width="10.875" style="3" customWidth="1"/>
    <col min="13061" max="13061" width="10.5" style="3" customWidth="1"/>
    <col min="13062" max="13062" width="11" style="3" customWidth="1"/>
    <col min="13063" max="13063" width="9" style="3"/>
    <col min="13064" max="13064" width="10.625" style="3" customWidth="1"/>
    <col min="13065" max="13065" width="10" style="3" customWidth="1"/>
    <col min="13066" max="13066" width="9.875" style="3" customWidth="1"/>
    <col min="13067" max="13067" width="10.875" style="3" customWidth="1"/>
    <col min="13068" max="13068" width="10.5" style="3" customWidth="1"/>
    <col min="13069" max="13069" width="11" style="3" customWidth="1"/>
    <col min="13070" max="13070" width="9" style="3"/>
    <col min="13071" max="13071" width="10.625" style="3" customWidth="1"/>
    <col min="13072" max="13072" width="9" style="3"/>
    <col min="13073" max="13073" width="19.5" style="3" customWidth="1"/>
    <col min="13074" max="13074" width="16.75" style="3" customWidth="1"/>
    <col min="13075" max="13075" width="16.5" style="3" customWidth="1"/>
    <col min="13076" max="13312" width="9" style="3"/>
    <col min="13313" max="13313" width="1.875" style="3" customWidth="1"/>
    <col min="13314" max="13314" width="10" style="3" customWidth="1"/>
    <col min="13315" max="13315" width="9.875" style="3" customWidth="1"/>
    <col min="13316" max="13316" width="10.875" style="3" customWidth="1"/>
    <col min="13317" max="13317" width="10.5" style="3" customWidth="1"/>
    <col min="13318" max="13318" width="11" style="3" customWidth="1"/>
    <col min="13319" max="13319" width="9" style="3"/>
    <col min="13320" max="13320" width="10.625" style="3" customWidth="1"/>
    <col min="13321" max="13321" width="10" style="3" customWidth="1"/>
    <col min="13322" max="13322" width="9.875" style="3" customWidth="1"/>
    <col min="13323" max="13323" width="10.875" style="3" customWidth="1"/>
    <col min="13324" max="13324" width="10.5" style="3" customWidth="1"/>
    <col min="13325" max="13325" width="11" style="3" customWidth="1"/>
    <col min="13326" max="13326" width="9" style="3"/>
    <col min="13327" max="13327" width="10.625" style="3" customWidth="1"/>
    <col min="13328" max="13328" width="9" style="3"/>
    <col min="13329" max="13329" width="19.5" style="3" customWidth="1"/>
    <col min="13330" max="13330" width="16.75" style="3" customWidth="1"/>
    <col min="13331" max="13331" width="16.5" style="3" customWidth="1"/>
    <col min="13332" max="13568" width="9" style="3"/>
    <col min="13569" max="13569" width="1.875" style="3" customWidth="1"/>
    <col min="13570" max="13570" width="10" style="3" customWidth="1"/>
    <col min="13571" max="13571" width="9.875" style="3" customWidth="1"/>
    <col min="13572" max="13572" width="10.875" style="3" customWidth="1"/>
    <col min="13573" max="13573" width="10.5" style="3" customWidth="1"/>
    <col min="13574" max="13574" width="11" style="3" customWidth="1"/>
    <col min="13575" max="13575" width="9" style="3"/>
    <col min="13576" max="13576" width="10.625" style="3" customWidth="1"/>
    <col min="13577" max="13577" width="10" style="3" customWidth="1"/>
    <col min="13578" max="13578" width="9.875" style="3" customWidth="1"/>
    <col min="13579" max="13579" width="10.875" style="3" customWidth="1"/>
    <col min="13580" max="13580" width="10.5" style="3" customWidth="1"/>
    <col min="13581" max="13581" width="11" style="3" customWidth="1"/>
    <col min="13582" max="13582" width="9" style="3"/>
    <col min="13583" max="13583" width="10.625" style="3" customWidth="1"/>
    <col min="13584" max="13584" width="9" style="3"/>
    <col min="13585" max="13585" width="19.5" style="3" customWidth="1"/>
    <col min="13586" max="13586" width="16.75" style="3" customWidth="1"/>
    <col min="13587" max="13587" width="16.5" style="3" customWidth="1"/>
    <col min="13588" max="13824" width="9" style="3"/>
    <col min="13825" max="13825" width="1.875" style="3" customWidth="1"/>
    <col min="13826" max="13826" width="10" style="3" customWidth="1"/>
    <col min="13827" max="13827" width="9.875" style="3" customWidth="1"/>
    <col min="13828" max="13828" width="10.875" style="3" customWidth="1"/>
    <col min="13829" max="13829" width="10.5" style="3" customWidth="1"/>
    <col min="13830" max="13830" width="11" style="3" customWidth="1"/>
    <col min="13831" max="13831" width="9" style="3"/>
    <col min="13832" max="13832" width="10.625" style="3" customWidth="1"/>
    <col min="13833" max="13833" width="10" style="3" customWidth="1"/>
    <col min="13834" max="13834" width="9.875" style="3" customWidth="1"/>
    <col min="13835" max="13835" width="10.875" style="3" customWidth="1"/>
    <col min="13836" max="13836" width="10.5" style="3" customWidth="1"/>
    <col min="13837" max="13837" width="11" style="3" customWidth="1"/>
    <col min="13838" max="13838" width="9" style="3"/>
    <col min="13839" max="13839" width="10.625" style="3" customWidth="1"/>
    <col min="13840" max="13840" width="9" style="3"/>
    <col min="13841" max="13841" width="19.5" style="3" customWidth="1"/>
    <col min="13842" max="13842" width="16.75" style="3" customWidth="1"/>
    <col min="13843" max="13843" width="16.5" style="3" customWidth="1"/>
    <col min="13844" max="14080" width="9" style="3"/>
    <col min="14081" max="14081" width="1.875" style="3" customWidth="1"/>
    <col min="14082" max="14082" width="10" style="3" customWidth="1"/>
    <col min="14083" max="14083" width="9.875" style="3" customWidth="1"/>
    <col min="14084" max="14084" width="10.875" style="3" customWidth="1"/>
    <col min="14085" max="14085" width="10.5" style="3" customWidth="1"/>
    <col min="14086" max="14086" width="11" style="3" customWidth="1"/>
    <col min="14087" max="14087" width="9" style="3"/>
    <col min="14088" max="14088" width="10.625" style="3" customWidth="1"/>
    <col min="14089" max="14089" width="10" style="3" customWidth="1"/>
    <col min="14090" max="14090" width="9.875" style="3" customWidth="1"/>
    <col min="14091" max="14091" width="10.875" style="3" customWidth="1"/>
    <col min="14092" max="14092" width="10.5" style="3" customWidth="1"/>
    <col min="14093" max="14093" width="11" style="3" customWidth="1"/>
    <col min="14094" max="14094" width="9" style="3"/>
    <col min="14095" max="14095" width="10.625" style="3" customWidth="1"/>
    <col min="14096" max="14096" width="9" style="3"/>
    <col min="14097" max="14097" width="19.5" style="3" customWidth="1"/>
    <col min="14098" max="14098" width="16.75" style="3" customWidth="1"/>
    <col min="14099" max="14099" width="16.5" style="3" customWidth="1"/>
    <col min="14100" max="14336" width="9" style="3"/>
    <col min="14337" max="14337" width="1.875" style="3" customWidth="1"/>
    <col min="14338" max="14338" width="10" style="3" customWidth="1"/>
    <col min="14339" max="14339" width="9.875" style="3" customWidth="1"/>
    <col min="14340" max="14340" width="10.875" style="3" customWidth="1"/>
    <col min="14341" max="14341" width="10.5" style="3" customWidth="1"/>
    <col min="14342" max="14342" width="11" style="3" customWidth="1"/>
    <col min="14343" max="14343" width="9" style="3"/>
    <col min="14344" max="14344" width="10.625" style="3" customWidth="1"/>
    <col min="14345" max="14345" width="10" style="3" customWidth="1"/>
    <col min="14346" max="14346" width="9.875" style="3" customWidth="1"/>
    <col min="14347" max="14347" width="10.875" style="3" customWidth="1"/>
    <col min="14348" max="14348" width="10.5" style="3" customWidth="1"/>
    <col min="14349" max="14349" width="11" style="3" customWidth="1"/>
    <col min="14350" max="14350" width="9" style="3"/>
    <col min="14351" max="14351" width="10.625" style="3" customWidth="1"/>
    <col min="14352" max="14352" width="9" style="3"/>
    <col min="14353" max="14353" width="19.5" style="3" customWidth="1"/>
    <col min="14354" max="14354" width="16.75" style="3" customWidth="1"/>
    <col min="14355" max="14355" width="16.5" style="3" customWidth="1"/>
    <col min="14356" max="14592" width="9" style="3"/>
    <col min="14593" max="14593" width="1.875" style="3" customWidth="1"/>
    <col min="14594" max="14594" width="10" style="3" customWidth="1"/>
    <col min="14595" max="14595" width="9.875" style="3" customWidth="1"/>
    <col min="14596" max="14596" width="10.875" style="3" customWidth="1"/>
    <col min="14597" max="14597" width="10.5" style="3" customWidth="1"/>
    <col min="14598" max="14598" width="11" style="3" customWidth="1"/>
    <col min="14599" max="14599" width="9" style="3"/>
    <col min="14600" max="14600" width="10.625" style="3" customWidth="1"/>
    <col min="14601" max="14601" width="10" style="3" customWidth="1"/>
    <col min="14602" max="14602" width="9.875" style="3" customWidth="1"/>
    <col min="14603" max="14603" width="10.875" style="3" customWidth="1"/>
    <col min="14604" max="14604" width="10.5" style="3" customWidth="1"/>
    <col min="14605" max="14605" width="11" style="3" customWidth="1"/>
    <col min="14606" max="14606" width="9" style="3"/>
    <col min="14607" max="14607" width="10.625" style="3" customWidth="1"/>
    <col min="14608" max="14608" width="9" style="3"/>
    <col min="14609" max="14609" width="19.5" style="3" customWidth="1"/>
    <col min="14610" max="14610" width="16.75" style="3" customWidth="1"/>
    <col min="14611" max="14611" width="16.5" style="3" customWidth="1"/>
    <col min="14612" max="14848" width="9" style="3"/>
    <col min="14849" max="14849" width="1.875" style="3" customWidth="1"/>
    <col min="14850" max="14850" width="10" style="3" customWidth="1"/>
    <col min="14851" max="14851" width="9.875" style="3" customWidth="1"/>
    <col min="14852" max="14852" width="10.875" style="3" customWidth="1"/>
    <col min="14853" max="14853" width="10.5" style="3" customWidth="1"/>
    <col min="14854" max="14854" width="11" style="3" customWidth="1"/>
    <col min="14855" max="14855" width="9" style="3"/>
    <col min="14856" max="14856" width="10.625" style="3" customWidth="1"/>
    <col min="14857" max="14857" width="10" style="3" customWidth="1"/>
    <col min="14858" max="14858" width="9.875" style="3" customWidth="1"/>
    <col min="14859" max="14859" width="10.875" style="3" customWidth="1"/>
    <col min="14860" max="14860" width="10.5" style="3" customWidth="1"/>
    <col min="14861" max="14861" width="11" style="3" customWidth="1"/>
    <col min="14862" max="14862" width="9" style="3"/>
    <col min="14863" max="14863" width="10.625" style="3" customWidth="1"/>
    <col min="14864" max="14864" width="9" style="3"/>
    <col min="14865" max="14865" width="19.5" style="3" customWidth="1"/>
    <col min="14866" max="14866" width="16.75" style="3" customWidth="1"/>
    <col min="14867" max="14867" width="16.5" style="3" customWidth="1"/>
    <col min="14868" max="15104" width="9" style="3"/>
    <col min="15105" max="15105" width="1.875" style="3" customWidth="1"/>
    <col min="15106" max="15106" width="10" style="3" customWidth="1"/>
    <col min="15107" max="15107" width="9.875" style="3" customWidth="1"/>
    <col min="15108" max="15108" width="10.875" style="3" customWidth="1"/>
    <col min="15109" max="15109" width="10.5" style="3" customWidth="1"/>
    <col min="15110" max="15110" width="11" style="3" customWidth="1"/>
    <col min="15111" max="15111" width="9" style="3"/>
    <col min="15112" max="15112" width="10.625" style="3" customWidth="1"/>
    <col min="15113" max="15113" width="10" style="3" customWidth="1"/>
    <col min="15114" max="15114" width="9.875" style="3" customWidth="1"/>
    <col min="15115" max="15115" width="10.875" style="3" customWidth="1"/>
    <col min="15116" max="15116" width="10.5" style="3" customWidth="1"/>
    <col min="15117" max="15117" width="11" style="3" customWidth="1"/>
    <col min="15118" max="15118" width="9" style="3"/>
    <col min="15119" max="15119" width="10.625" style="3" customWidth="1"/>
    <col min="15120" max="15120" width="9" style="3"/>
    <col min="15121" max="15121" width="19.5" style="3" customWidth="1"/>
    <col min="15122" max="15122" width="16.75" style="3" customWidth="1"/>
    <col min="15123" max="15123" width="16.5" style="3" customWidth="1"/>
    <col min="15124" max="15360" width="9" style="3"/>
    <col min="15361" max="15361" width="1.875" style="3" customWidth="1"/>
    <col min="15362" max="15362" width="10" style="3" customWidth="1"/>
    <col min="15363" max="15363" width="9.875" style="3" customWidth="1"/>
    <col min="15364" max="15364" width="10.875" style="3" customWidth="1"/>
    <col min="15365" max="15365" width="10.5" style="3" customWidth="1"/>
    <col min="15366" max="15366" width="11" style="3" customWidth="1"/>
    <col min="15367" max="15367" width="9" style="3"/>
    <col min="15368" max="15368" width="10.625" style="3" customWidth="1"/>
    <col min="15369" max="15369" width="10" style="3" customWidth="1"/>
    <col min="15370" max="15370" width="9.875" style="3" customWidth="1"/>
    <col min="15371" max="15371" width="10.875" style="3" customWidth="1"/>
    <col min="15372" max="15372" width="10.5" style="3" customWidth="1"/>
    <col min="15373" max="15373" width="11" style="3" customWidth="1"/>
    <col min="15374" max="15374" width="9" style="3"/>
    <col min="15375" max="15375" width="10.625" style="3" customWidth="1"/>
    <col min="15376" max="15376" width="9" style="3"/>
    <col min="15377" max="15377" width="19.5" style="3" customWidth="1"/>
    <col min="15378" max="15378" width="16.75" style="3" customWidth="1"/>
    <col min="15379" max="15379" width="16.5" style="3" customWidth="1"/>
    <col min="15380" max="15616" width="9" style="3"/>
    <col min="15617" max="15617" width="1.875" style="3" customWidth="1"/>
    <col min="15618" max="15618" width="10" style="3" customWidth="1"/>
    <col min="15619" max="15619" width="9.875" style="3" customWidth="1"/>
    <col min="15620" max="15620" width="10.875" style="3" customWidth="1"/>
    <col min="15621" max="15621" width="10.5" style="3" customWidth="1"/>
    <col min="15622" max="15622" width="11" style="3" customWidth="1"/>
    <col min="15623" max="15623" width="9" style="3"/>
    <col min="15624" max="15624" width="10.625" style="3" customWidth="1"/>
    <col min="15625" max="15625" width="10" style="3" customWidth="1"/>
    <col min="15626" max="15626" width="9.875" style="3" customWidth="1"/>
    <col min="15627" max="15627" width="10.875" style="3" customWidth="1"/>
    <col min="15628" max="15628" width="10.5" style="3" customWidth="1"/>
    <col min="15629" max="15629" width="11" style="3" customWidth="1"/>
    <col min="15630" max="15630" width="9" style="3"/>
    <col min="15631" max="15631" width="10.625" style="3" customWidth="1"/>
    <col min="15632" max="15632" width="9" style="3"/>
    <col min="15633" max="15633" width="19.5" style="3" customWidth="1"/>
    <col min="15634" max="15634" width="16.75" style="3" customWidth="1"/>
    <col min="15635" max="15635" width="16.5" style="3" customWidth="1"/>
    <col min="15636" max="15872" width="9" style="3"/>
    <col min="15873" max="15873" width="1.875" style="3" customWidth="1"/>
    <col min="15874" max="15874" width="10" style="3" customWidth="1"/>
    <col min="15875" max="15875" width="9.875" style="3" customWidth="1"/>
    <col min="15876" max="15876" width="10.875" style="3" customWidth="1"/>
    <col min="15877" max="15877" width="10.5" style="3" customWidth="1"/>
    <col min="15878" max="15878" width="11" style="3" customWidth="1"/>
    <col min="15879" max="15879" width="9" style="3"/>
    <col min="15880" max="15880" width="10.625" style="3" customWidth="1"/>
    <col min="15881" max="15881" width="10" style="3" customWidth="1"/>
    <col min="15882" max="15882" width="9.875" style="3" customWidth="1"/>
    <col min="15883" max="15883" width="10.875" style="3" customWidth="1"/>
    <col min="15884" max="15884" width="10.5" style="3" customWidth="1"/>
    <col min="15885" max="15885" width="11" style="3" customWidth="1"/>
    <col min="15886" max="15886" width="9" style="3"/>
    <col min="15887" max="15887" width="10.625" style="3" customWidth="1"/>
    <col min="15888" max="15888" width="9" style="3"/>
    <col min="15889" max="15889" width="19.5" style="3" customWidth="1"/>
    <col min="15890" max="15890" width="16.75" style="3" customWidth="1"/>
    <col min="15891" max="15891" width="16.5" style="3" customWidth="1"/>
    <col min="15892" max="16128" width="9" style="3"/>
    <col min="16129" max="16129" width="1.875" style="3" customWidth="1"/>
    <col min="16130" max="16130" width="10" style="3" customWidth="1"/>
    <col min="16131" max="16131" width="9.875" style="3" customWidth="1"/>
    <col min="16132" max="16132" width="10.875" style="3" customWidth="1"/>
    <col min="16133" max="16133" width="10.5" style="3" customWidth="1"/>
    <col min="16134" max="16134" width="11" style="3" customWidth="1"/>
    <col min="16135" max="16135" width="9" style="3"/>
    <col min="16136" max="16136" width="10.625" style="3" customWidth="1"/>
    <col min="16137" max="16137" width="10" style="3" customWidth="1"/>
    <col min="16138" max="16138" width="9.875" style="3" customWidth="1"/>
    <col min="16139" max="16139" width="10.875" style="3" customWidth="1"/>
    <col min="16140" max="16140" width="10.5" style="3" customWidth="1"/>
    <col min="16141" max="16141" width="11" style="3" customWidth="1"/>
    <col min="16142" max="16142" width="9" style="3"/>
    <col min="16143" max="16143" width="10.625" style="3" customWidth="1"/>
    <col min="16144" max="16144" width="9" style="3"/>
    <col min="16145" max="16145" width="19.5" style="3" customWidth="1"/>
    <col min="16146" max="16146" width="16.75" style="3" customWidth="1"/>
    <col min="16147" max="16147" width="16.5" style="3" customWidth="1"/>
    <col min="16148" max="16384" width="9" style="3"/>
  </cols>
  <sheetData>
    <row r="1" spans="1:18" ht="32.450000000000003" customHeight="1">
      <c r="B1" s="188" t="s">
        <v>0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</row>
    <row r="2" spans="1:18" ht="27" customHeight="1" thickBot="1">
      <c r="L2" s="190" t="s">
        <v>210</v>
      </c>
      <c r="M2" s="190"/>
      <c r="N2" s="190"/>
      <c r="O2" s="190"/>
    </row>
    <row r="3" spans="1:18" s="1" customFormat="1" ht="45.75" customHeight="1" thickTop="1" thickBot="1">
      <c r="B3" s="40" t="s">
        <v>1</v>
      </c>
      <c r="C3" s="11" t="s">
        <v>2</v>
      </c>
      <c r="D3" s="41" t="s">
        <v>3</v>
      </c>
      <c r="E3" s="9" t="s">
        <v>4</v>
      </c>
      <c r="F3" s="41" t="s">
        <v>5</v>
      </c>
      <c r="G3" s="79" t="s">
        <v>6</v>
      </c>
      <c r="H3" s="11" t="s">
        <v>7</v>
      </c>
      <c r="I3" s="40" t="s">
        <v>1</v>
      </c>
      <c r="J3" s="11" t="s">
        <v>2</v>
      </c>
      <c r="K3" s="9" t="s">
        <v>3</v>
      </c>
      <c r="L3" s="9" t="s">
        <v>4</v>
      </c>
      <c r="M3" s="41" t="s">
        <v>5</v>
      </c>
      <c r="N3" s="92" t="s">
        <v>6</v>
      </c>
      <c r="O3" s="93" t="s">
        <v>7</v>
      </c>
      <c r="Q3" s="1" t="s">
        <v>8</v>
      </c>
    </row>
    <row r="4" spans="1:18" ht="34.5" customHeight="1">
      <c r="A4" s="3" t="s">
        <v>8</v>
      </c>
      <c r="B4" s="80" t="s">
        <v>9</v>
      </c>
      <c r="C4" s="81">
        <v>1001</v>
      </c>
      <c r="D4" s="82" t="s">
        <v>10</v>
      </c>
      <c r="E4" s="83">
        <f>1800/30*G4</f>
        <v>1800</v>
      </c>
      <c r="F4" s="84">
        <f t="shared" ref="F4:F25" si="0">E4+300</f>
        <v>2100</v>
      </c>
      <c r="G4" s="85">
        <v>30</v>
      </c>
      <c r="H4" s="86" t="str">
        <f>IF(G4&lt;30,"V"," ")</f>
        <v xml:space="preserve"> </v>
      </c>
      <c r="I4" s="94" t="s">
        <v>11</v>
      </c>
      <c r="J4" s="95">
        <v>2003</v>
      </c>
      <c r="K4" s="96" t="s">
        <v>12</v>
      </c>
      <c r="L4" s="15">
        <f t="shared" ref="L4:L14" si="1">1800/30*N4</f>
        <v>1800</v>
      </c>
      <c r="M4" s="97">
        <f t="shared" ref="M4:M14" si="2">L4+300</f>
        <v>2100</v>
      </c>
      <c r="N4" s="98">
        <v>30</v>
      </c>
      <c r="O4" s="99" t="str">
        <f t="shared" ref="O4:O16" si="3">IF(N4&lt;30,"V"," ")</f>
        <v xml:space="preserve"> </v>
      </c>
    </row>
    <row r="5" spans="1:18" ht="35.1" customHeight="1">
      <c r="B5" s="19" t="s">
        <v>13</v>
      </c>
      <c r="C5" s="20">
        <v>1010</v>
      </c>
      <c r="D5" s="87" t="s">
        <v>14</v>
      </c>
      <c r="E5" s="51">
        <f t="shared" ref="E5:E33" si="4">1800/30*G5</f>
        <v>1800</v>
      </c>
      <c r="F5" s="88">
        <f t="shared" si="0"/>
        <v>2100</v>
      </c>
      <c r="G5" s="17">
        <v>30</v>
      </c>
      <c r="H5" s="18" t="str">
        <f t="shared" ref="H5:H36" si="5">IF(G5&lt;30,"V"," ")</f>
        <v xml:space="preserve"> </v>
      </c>
      <c r="I5" s="50" t="s">
        <v>15</v>
      </c>
      <c r="J5" s="100">
        <v>2005</v>
      </c>
      <c r="K5" s="30" t="s">
        <v>17</v>
      </c>
      <c r="L5" s="15">
        <f t="shared" si="1"/>
        <v>1800</v>
      </c>
      <c r="M5" s="22">
        <f t="shared" si="2"/>
        <v>2100</v>
      </c>
      <c r="N5" s="101">
        <v>30</v>
      </c>
      <c r="O5" s="102" t="str">
        <f t="shared" si="3"/>
        <v xml:space="preserve"> </v>
      </c>
    </row>
    <row r="6" spans="1:18" ht="35.1" customHeight="1">
      <c r="B6" s="25" t="s">
        <v>15</v>
      </c>
      <c r="C6" s="20">
        <v>1050</v>
      </c>
      <c r="D6" s="89" t="s">
        <v>16</v>
      </c>
      <c r="E6" s="51">
        <f t="shared" si="4"/>
        <v>1800</v>
      </c>
      <c r="F6" s="90">
        <f t="shared" si="0"/>
        <v>2100</v>
      </c>
      <c r="G6" s="17">
        <v>30</v>
      </c>
      <c r="H6" s="18" t="str">
        <f t="shared" si="5"/>
        <v xml:space="preserve"> </v>
      </c>
      <c r="I6" s="103" t="s">
        <v>15</v>
      </c>
      <c r="J6" s="104">
        <v>2002</v>
      </c>
      <c r="K6" s="105" t="s">
        <v>20</v>
      </c>
      <c r="L6" s="15">
        <f t="shared" si="1"/>
        <v>1800</v>
      </c>
      <c r="M6" s="33">
        <f t="shared" si="2"/>
        <v>2100</v>
      </c>
      <c r="N6" s="101">
        <v>30</v>
      </c>
      <c r="O6" s="102" t="str">
        <f t="shared" si="3"/>
        <v xml:space="preserve"> </v>
      </c>
    </row>
    <row r="7" spans="1:18" ht="35.1" customHeight="1">
      <c r="B7" s="25" t="s">
        <v>15</v>
      </c>
      <c r="C7" s="20" t="s">
        <v>18</v>
      </c>
      <c r="D7" s="89" t="s">
        <v>19</v>
      </c>
      <c r="E7" s="51">
        <f t="shared" si="4"/>
        <v>1800</v>
      </c>
      <c r="F7" s="90">
        <f t="shared" si="0"/>
        <v>2100</v>
      </c>
      <c r="G7" s="17">
        <v>30</v>
      </c>
      <c r="H7" s="18" t="str">
        <f t="shared" si="5"/>
        <v xml:space="preserve"> </v>
      </c>
      <c r="I7" s="91" t="s">
        <v>22</v>
      </c>
      <c r="J7" s="100">
        <v>2008</v>
      </c>
      <c r="K7" s="30" t="s">
        <v>23</v>
      </c>
      <c r="L7" s="15">
        <f t="shared" si="1"/>
        <v>480</v>
      </c>
      <c r="M7" s="22">
        <f t="shared" si="2"/>
        <v>780</v>
      </c>
      <c r="N7" s="101">
        <v>8</v>
      </c>
      <c r="O7" s="102" t="str">
        <f t="shared" si="3"/>
        <v>V</v>
      </c>
    </row>
    <row r="8" spans="1:18" ht="35.1" customHeight="1">
      <c r="B8" s="25" t="s">
        <v>15</v>
      </c>
      <c r="C8" s="20">
        <v>1060</v>
      </c>
      <c r="D8" s="89" t="s">
        <v>21</v>
      </c>
      <c r="E8" s="51">
        <f t="shared" si="4"/>
        <v>1800</v>
      </c>
      <c r="F8" s="90">
        <f t="shared" si="0"/>
        <v>2100</v>
      </c>
      <c r="G8" s="17">
        <v>30</v>
      </c>
      <c r="H8" s="18" t="str">
        <f t="shared" si="5"/>
        <v xml:space="preserve"> </v>
      </c>
      <c r="I8" s="50" t="s">
        <v>15</v>
      </c>
      <c r="J8" s="100">
        <v>2011</v>
      </c>
      <c r="K8" s="30" t="s">
        <v>26</v>
      </c>
      <c r="L8" s="15">
        <f t="shared" si="1"/>
        <v>1800</v>
      </c>
      <c r="M8" s="22">
        <f t="shared" si="2"/>
        <v>2100</v>
      </c>
      <c r="N8" s="101">
        <v>30</v>
      </c>
      <c r="O8" s="102" t="str">
        <f t="shared" si="3"/>
        <v xml:space="preserve"> </v>
      </c>
    </row>
    <row r="9" spans="1:18" ht="35.1" customHeight="1">
      <c r="B9" s="19" t="s">
        <v>24</v>
      </c>
      <c r="C9" s="20">
        <v>1003</v>
      </c>
      <c r="D9" s="89" t="s">
        <v>30</v>
      </c>
      <c r="E9" s="51">
        <f t="shared" si="4"/>
        <v>1800</v>
      </c>
      <c r="F9" s="90">
        <f t="shared" si="0"/>
        <v>2100</v>
      </c>
      <c r="G9" s="17">
        <v>30</v>
      </c>
      <c r="H9" s="18" t="str">
        <f t="shared" si="5"/>
        <v xml:space="preserve"> </v>
      </c>
      <c r="I9" s="50" t="s">
        <v>15</v>
      </c>
      <c r="J9" s="106" t="s">
        <v>28</v>
      </c>
      <c r="K9" s="30" t="s">
        <v>29</v>
      </c>
      <c r="L9" s="15">
        <f t="shared" si="1"/>
        <v>480</v>
      </c>
      <c r="M9" s="22">
        <f t="shared" si="2"/>
        <v>780</v>
      </c>
      <c r="N9" s="101">
        <v>8</v>
      </c>
      <c r="O9" s="102" t="str">
        <f t="shared" si="3"/>
        <v>V</v>
      </c>
      <c r="Q9" s="119"/>
    </row>
    <row r="10" spans="1:18" ht="35.1" customHeight="1">
      <c r="B10" s="25" t="s">
        <v>15</v>
      </c>
      <c r="C10" s="20">
        <v>1073</v>
      </c>
      <c r="D10" s="89" t="s">
        <v>155</v>
      </c>
      <c r="E10" s="51">
        <f t="shared" si="4"/>
        <v>1800</v>
      </c>
      <c r="F10" s="90">
        <f t="shared" si="0"/>
        <v>2100</v>
      </c>
      <c r="G10" s="17">
        <v>30</v>
      </c>
      <c r="H10" s="18" t="str">
        <f t="shared" si="5"/>
        <v xml:space="preserve"> </v>
      </c>
      <c r="I10" s="50" t="s">
        <v>15</v>
      </c>
      <c r="J10" s="106">
        <v>2042</v>
      </c>
      <c r="K10" s="30" t="s">
        <v>31</v>
      </c>
      <c r="L10" s="15">
        <f t="shared" si="1"/>
        <v>1800</v>
      </c>
      <c r="M10" s="22">
        <f t="shared" si="2"/>
        <v>2100</v>
      </c>
      <c r="N10" s="101">
        <v>30</v>
      </c>
      <c r="O10" s="102" t="str">
        <f t="shared" si="3"/>
        <v xml:space="preserve"> </v>
      </c>
      <c r="Q10" s="119"/>
    </row>
    <row r="11" spans="1:18" ht="35.1" customHeight="1">
      <c r="B11" s="25"/>
      <c r="C11" s="20"/>
      <c r="D11" s="89"/>
      <c r="E11" s="51"/>
      <c r="F11" s="90"/>
      <c r="G11" s="17">
        <v>30</v>
      </c>
      <c r="H11" s="18" t="str">
        <f t="shared" si="5"/>
        <v xml:space="preserve"> </v>
      </c>
      <c r="I11" s="91" t="s">
        <v>32</v>
      </c>
      <c r="J11" s="106">
        <v>2039</v>
      </c>
      <c r="K11" s="89" t="s">
        <v>73</v>
      </c>
      <c r="L11" s="51">
        <f t="shared" si="1"/>
        <v>1800</v>
      </c>
      <c r="M11" s="90">
        <f t="shared" si="2"/>
        <v>2100</v>
      </c>
      <c r="N11" s="23">
        <v>30</v>
      </c>
      <c r="O11" s="18" t="str">
        <f t="shared" si="3"/>
        <v xml:space="preserve"> </v>
      </c>
      <c r="Q11" s="119"/>
    </row>
    <row r="12" spans="1:18" ht="35.1" customHeight="1">
      <c r="B12" s="25"/>
      <c r="C12" s="20"/>
      <c r="D12" s="89"/>
      <c r="E12" s="51"/>
      <c r="F12" s="90"/>
      <c r="G12" s="17">
        <v>30</v>
      </c>
      <c r="H12" s="18" t="str">
        <f t="shared" si="5"/>
        <v xml:space="preserve"> </v>
      </c>
      <c r="I12" s="50" t="s">
        <v>15</v>
      </c>
      <c r="J12" s="106">
        <v>2031</v>
      </c>
      <c r="K12" s="30" t="s">
        <v>37</v>
      </c>
      <c r="L12" s="15">
        <f t="shared" si="1"/>
        <v>600</v>
      </c>
      <c r="M12" s="22">
        <f t="shared" si="2"/>
        <v>900</v>
      </c>
      <c r="N12" s="101">
        <v>10</v>
      </c>
      <c r="O12" s="102" t="str">
        <f t="shared" si="3"/>
        <v>V</v>
      </c>
      <c r="Q12" s="119"/>
      <c r="R12" s="76"/>
    </row>
    <row r="13" spans="1:18" ht="35.1" customHeight="1">
      <c r="B13" s="25"/>
      <c r="C13" s="20"/>
      <c r="D13" s="30"/>
      <c r="E13" s="15"/>
      <c r="F13" s="22"/>
      <c r="G13" s="101">
        <v>30</v>
      </c>
      <c r="H13" s="102" t="str">
        <f t="shared" si="5"/>
        <v xml:space="preserve"> </v>
      </c>
      <c r="I13" s="50" t="s">
        <v>15</v>
      </c>
      <c r="J13" s="106">
        <v>2047</v>
      </c>
      <c r="K13" s="107" t="s">
        <v>144</v>
      </c>
      <c r="L13" s="15">
        <f t="shared" si="1"/>
        <v>1800</v>
      </c>
      <c r="M13" s="22">
        <f t="shared" si="2"/>
        <v>2100</v>
      </c>
      <c r="N13" s="101">
        <v>30</v>
      </c>
      <c r="O13" s="102" t="str">
        <f t="shared" si="3"/>
        <v xml:space="preserve"> </v>
      </c>
      <c r="Q13" s="120"/>
      <c r="R13" s="134"/>
    </row>
    <row r="14" spans="1:18" ht="34.9" customHeight="1">
      <c r="B14" s="19" t="s">
        <v>34</v>
      </c>
      <c r="C14" s="20">
        <v>1046</v>
      </c>
      <c r="D14" s="89" t="s">
        <v>35</v>
      </c>
      <c r="E14" s="51">
        <f t="shared" si="4"/>
        <v>1800</v>
      </c>
      <c r="F14" s="90">
        <f t="shared" si="0"/>
        <v>2100</v>
      </c>
      <c r="G14" s="17">
        <v>30</v>
      </c>
      <c r="H14" s="18" t="str">
        <f t="shared" si="5"/>
        <v xml:space="preserve"> </v>
      </c>
      <c r="I14" s="50" t="s">
        <v>15</v>
      </c>
      <c r="J14" s="106">
        <v>2018</v>
      </c>
      <c r="K14" s="107" t="s">
        <v>197</v>
      </c>
      <c r="L14" s="15">
        <f t="shared" si="1"/>
        <v>1800</v>
      </c>
      <c r="M14" s="22">
        <f t="shared" si="2"/>
        <v>2100</v>
      </c>
      <c r="N14" s="101">
        <v>30</v>
      </c>
      <c r="O14" s="102" t="str">
        <f t="shared" si="3"/>
        <v xml:space="preserve"> </v>
      </c>
      <c r="Q14" s="120"/>
      <c r="R14" s="76"/>
    </row>
    <row r="15" spans="1:18" ht="35.1" customHeight="1">
      <c r="B15" s="25" t="s">
        <v>15</v>
      </c>
      <c r="C15" s="20">
        <v>1014</v>
      </c>
      <c r="D15" s="89" t="s">
        <v>36</v>
      </c>
      <c r="E15" s="51">
        <f t="shared" si="4"/>
        <v>1800</v>
      </c>
      <c r="F15" s="90">
        <f t="shared" si="0"/>
        <v>2100</v>
      </c>
      <c r="G15" s="17">
        <v>30</v>
      </c>
      <c r="H15" s="18" t="str">
        <f t="shared" si="5"/>
        <v xml:space="preserve"> </v>
      </c>
      <c r="I15" s="50"/>
      <c r="J15" s="106"/>
      <c r="K15" s="107"/>
      <c r="L15" s="15"/>
      <c r="M15" s="22"/>
      <c r="N15" s="101"/>
      <c r="O15" s="102" t="str">
        <f t="shared" si="3"/>
        <v>V</v>
      </c>
      <c r="Q15" s="120"/>
    </row>
    <row r="16" spans="1:18" ht="35.1" customHeight="1">
      <c r="B16" s="25" t="s">
        <v>15</v>
      </c>
      <c r="C16" s="20">
        <v>1015</v>
      </c>
      <c r="D16" s="89" t="s">
        <v>38</v>
      </c>
      <c r="E16" s="51">
        <f t="shared" si="4"/>
        <v>1800</v>
      </c>
      <c r="F16" s="90">
        <f t="shared" si="0"/>
        <v>2100</v>
      </c>
      <c r="G16" s="17">
        <v>30</v>
      </c>
      <c r="H16" s="18" t="str">
        <f t="shared" si="5"/>
        <v xml:space="preserve"> </v>
      </c>
      <c r="I16" s="50"/>
      <c r="J16" s="106"/>
      <c r="K16" s="107"/>
      <c r="L16" s="22"/>
      <c r="N16" s="101"/>
      <c r="O16" s="102" t="str">
        <f t="shared" si="3"/>
        <v>V</v>
      </c>
      <c r="Q16" s="120"/>
    </row>
    <row r="17" spans="2:19" ht="35.1" customHeight="1">
      <c r="B17" s="25" t="s">
        <v>15</v>
      </c>
      <c r="C17" s="163" t="s">
        <v>174</v>
      </c>
      <c r="D17" s="30" t="s">
        <v>49</v>
      </c>
      <c r="E17" s="109">
        <f>1800/30*G17</f>
        <v>1800</v>
      </c>
      <c r="F17" s="22">
        <f>E17+300</f>
        <v>2100</v>
      </c>
      <c r="G17" s="23">
        <v>30</v>
      </c>
      <c r="H17" s="18" t="str">
        <f>IF(G17&lt;30,"V"," ")</f>
        <v xml:space="preserve"> </v>
      </c>
      <c r="I17" s="50"/>
      <c r="J17" s="106"/>
      <c r="K17" s="107"/>
      <c r="L17" s="28"/>
      <c r="M17" s="22"/>
      <c r="N17" s="101"/>
      <c r="O17" s="102"/>
      <c r="S17" s="66">
        <f>SUMIFS(F4:F37,F4:F37,2100)</f>
        <v>44100</v>
      </c>
    </row>
    <row r="18" spans="2:19" ht="35.1" customHeight="1">
      <c r="B18" s="25" t="s">
        <v>15</v>
      </c>
      <c r="C18" s="20" t="s">
        <v>39</v>
      </c>
      <c r="D18" s="89" t="s">
        <v>40</v>
      </c>
      <c r="E18" s="51">
        <f t="shared" si="4"/>
        <v>1800</v>
      </c>
      <c r="F18" s="90">
        <f t="shared" si="0"/>
        <v>2100</v>
      </c>
      <c r="G18" s="17">
        <v>30</v>
      </c>
      <c r="H18" s="18" t="str">
        <f t="shared" si="5"/>
        <v xml:space="preserve"> </v>
      </c>
      <c r="I18" s="50"/>
      <c r="J18" s="106"/>
      <c r="K18" s="107"/>
      <c r="L18" s="28"/>
      <c r="M18" s="22"/>
      <c r="N18" s="101"/>
      <c r="O18" s="102"/>
      <c r="S18" s="67">
        <f>SUMIFS(M4:M16,M4:M16,2100)</f>
        <v>16800</v>
      </c>
    </row>
    <row r="19" spans="2:19" ht="35.1" customHeight="1">
      <c r="B19" s="25" t="s">
        <v>15</v>
      </c>
      <c r="C19" s="20">
        <v>1059</v>
      </c>
      <c r="D19" s="89" t="s">
        <v>41</v>
      </c>
      <c r="E19" s="51">
        <f t="shared" si="4"/>
        <v>1440</v>
      </c>
      <c r="F19" s="90">
        <f t="shared" si="0"/>
        <v>1740</v>
      </c>
      <c r="G19" s="17">
        <v>24</v>
      </c>
      <c r="H19" s="18" t="str">
        <f t="shared" si="5"/>
        <v>V</v>
      </c>
      <c r="I19" s="198" t="s">
        <v>44</v>
      </c>
      <c r="J19" s="199"/>
      <c r="K19" s="199"/>
      <c r="L19" s="199"/>
      <c r="M19" s="199"/>
      <c r="N19" s="200"/>
      <c r="O19" s="201"/>
      <c r="S19" s="121">
        <f>SUMIFS(M20:M22,M20:M22,2100)</f>
        <v>2100</v>
      </c>
    </row>
    <row r="20" spans="2:19" ht="35.1" customHeight="1" thickBot="1">
      <c r="B20" s="25" t="s">
        <v>15</v>
      </c>
      <c r="C20" s="20" t="s">
        <v>167</v>
      </c>
      <c r="D20" s="89" t="s">
        <v>168</v>
      </c>
      <c r="E20" s="51">
        <f t="shared" si="4"/>
        <v>1800</v>
      </c>
      <c r="F20" s="90">
        <f t="shared" si="0"/>
        <v>2100</v>
      </c>
      <c r="G20" s="17">
        <v>30</v>
      </c>
      <c r="H20" s="18" t="str">
        <f t="shared" si="5"/>
        <v xml:space="preserve"> </v>
      </c>
      <c r="I20" s="91" t="s">
        <v>42</v>
      </c>
      <c r="J20" s="108" t="s">
        <v>46</v>
      </c>
      <c r="K20" s="30" t="s">
        <v>47</v>
      </c>
      <c r="L20" s="109">
        <f>1800/30*N20</f>
        <v>1440</v>
      </c>
      <c r="M20" s="33">
        <f>L20+300</f>
        <v>1740</v>
      </c>
      <c r="N20" s="101">
        <v>24</v>
      </c>
      <c r="O20" s="18" t="str">
        <f>IF(N20&lt;30,"V"," ")</f>
        <v>V</v>
      </c>
      <c r="R20" s="122" t="s">
        <v>45</v>
      </c>
      <c r="S20" s="69">
        <f>SUM(S17:S19)</f>
        <v>63000</v>
      </c>
    </row>
    <row r="21" spans="2:19" ht="35.1" customHeight="1" thickTop="1">
      <c r="B21" s="19" t="s">
        <v>42</v>
      </c>
      <c r="C21" s="20">
        <v>1004</v>
      </c>
      <c r="D21" s="89" t="s">
        <v>43</v>
      </c>
      <c r="E21" s="51">
        <f t="shared" si="4"/>
        <v>1800</v>
      </c>
      <c r="F21" s="90">
        <f t="shared" si="0"/>
        <v>2100</v>
      </c>
      <c r="G21" s="17">
        <v>30</v>
      </c>
      <c r="H21" s="18" t="str">
        <f t="shared" si="5"/>
        <v xml:space="preserve"> </v>
      </c>
      <c r="I21" s="129" t="s">
        <v>157</v>
      </c>
      <c r="J21" s="110" t="s">
        <v>156</v>
      </c>
      <c r="K21" s="89" t="s">
        <v>139</v>
      </c>
      <c r="L21" s="51">
        <f t="shared" ref="L21" si="6">1800/30*N21</f>
        <v>1800</v>
      </c>
      <c r="M21" s="90">
        <f t="shared" ref="M21" si="7">L21+300</f>
        <v>2100</v>
      </c>
      <c r="N21" s="17">
        <v>30</v>
      </c>
      <c r="O21" s="18" t="str">
        <f>IF(N21&lt;30,"V"," ")</f>
        <v xml:space="preserve"> </v>
      </c>
      <c r="S21" s="76" t="s">
        <v>48</v>
      </c>
    </row>
    <row r="22" spans="2:19" ht="35.1" customHeight="1">
      <c r="B22" s="25" t="s">
        <v>15</v>
      </c>
      <c r="C22" s="20">
        <v>1008</v>
      </c>
      <c r="D22" s="89" t="s">
        <v>158</v>
      </c>
      <c r="E22" s="51">
        <f t="shared" si="4"/>
        <v>1800</v>
      </c>
      <c r="F22" s="90">
        <f t="shared" si="0"/>
        <v>2100</v>
      </c>
      <c r="G22" s="17">
        <v>30</v>
      </c>
      <c r="H22" s="18" t="str">
        <f t="shared" si="5"/>
        <v xml:space="preserve"> </v>
      </c>
      <c r="I22" s="129"/>
      <c r="J22" s="110"/>
      <c r="K22" s="89"/>
      <c r="L22" s="51"/>
      <c r="M22" s="90"/>
      <c r="N22" s="17"/>
      <c r="O22" s="18" t="str">
        <f>IF(N22&lt;30,"V"," ")</f>
        <v>V</v>
      </c>
      <c r="S22" s="66">
        <f>SUMIFS(F4:F37,H4:H37,"v")</f>
        <v>6480</v>
      </c>
    </row>
    <row r="23" spans="2:19" ht="35.1" customHeight="1">
      <c r="B23" s="25" t="s">
        <v>15</v>
      </c>
      <c r="C23" s="20">
        <v>2040</v>
      </c>
      <c r="D23" s="89" t="s">
        <v>50</v>
      </c>
      <c r="E23" s="51">
        <f t="shared" si="4"/>
        <v>1800</v>
      </c>
      <c r="F23" s="90">
        <f t="shared" si="0"/>
        <v>2100</v>
      </c>
      <c r="G23" s="17">
        <v>30</v>
      </c>
      <c r="H23" s="18" t="str">
        <f t="shared" si="5"/>
        <v xml:space="preserve"> </v>
      </c>
      <c r="I23" s="202" t="s">
        <v>51</v>
      </c>
      <c r="J23" s="203"/>
      <c r="K23" s="203"/>
      <c r="L23" s="203"/>
      <c r="M23" s="203"/>
      <c r="N23" s="203"/>
      <c r="O23" s="204"/>
      <c r="S23" s="71">
        <f>SUMIFS(M4:M16,O4:O16,"v")</f>
        <v>2460</v>
      </c>
    </row>
    <row r="24" spans="2:19" ht="35.1" customHeight="1">
      <c r="B24" s="25" t="s">
        <v>15</v>
      </c>
      <c r="C24" s="20">
        <v>1041</v>
      </c>
      <c r="D24" s="89" t="s">
        <v>52</v>
      </c>
      <c r="E24" s="51">
        <f t="shared" si="4"/>
        <v>1800</v>
      </c>
      <c r="F24" s="90">
        <f t="shared" si="0"/>
        <v>2100</v>
      </c>
      <c r="G24" s="17">
        <v>30</v>
      </c>
      <c r="H24" s="18" t="str">
        <f t="shared" si="5"/>
        <v xml:space="preserve"> </v>
      </c>
      <c r="I24" s="111" t="s">
        <v>53</v>
      </c>
      <c r="J24" s="112">
        <v>7021</v>
      </c>
      <c r="K24" s="21" t="s">
        <v>55</v>
      </c>
      <c r="L24" s="51">
        <v>700</v>
      </c>
      <c r="M24" s="22">
        <f t="shared" ref="M24:M29" si="8">L24+300</f>
        <v>1000</v>
      </c>
      <c r="N24" s="23"/>
      <c r="O24" s="113"/>
      <c r="S24" s="123">
        <f>SUMIFS(M20:M21,O20:O21,"v")</f>
        <v>1740</v>
      </c>
    </row>
    <row r="25" spans="2:19" ht="35.1" customHeight="1" thickBot="1">
      <c r="B25" s="25" t="s">
        <v>15</v>
      </c>
      <c r="C25" s="20">
        <v>1069</v>
      </c>
      <c r="D25" s="89" t="s">
        <v>145</v>
      </c>
      <c r="E25" s="51">
        <f t="shared" si="4"/>
        <v>1800</v>
      </c>
      <c r="F25" s="90">
        <f t="shared" si="0"/>
        <v>2100</v>
      </c>
      <c r="G25" s="17">
        <v>30</v>
      </c>
      <c r="H25" s="18" t="str">
        <f t="shared" si="5"/>
        <v xml:space="preserve"> </v>
      </c>
      <c r="I25" s="50" t="s">
        <v>15</v>
      </c>
      <c r="J25" s="112">
        <v>7034</v>
      </c>
      <c r="K25" s="21" t="s">
        <v>140</v>
      </c>
      <c r="L25" s="51">
        <v>700</v>
      </c>
      <c r="M25" s="22">
        <f>L25+300</f>
        <v>1000</v>
      </c>
      <c r="N25" s="23"/>
      <c r="O25" s="113"/>
      <c r="Q25" s="76"/>
      <c r="R25" s="122" t="s">
        <v>56</v>
      </c>
      <c r="S25" s="73">
        <f>SUM(S22,S23,S24)</f>
        <v>10680</v>
      </c>
    </row>
    <row r="26" spans="2:19" ht="35.1" customHeight="1" thickTop="1">
      <c r="B26" s="25" t="s">
        <v>15</v>
      </c>
      <c r="C26" s="20" t="s">
        <v>162</v>
      </c>
      <c r="D26" s="89" t="s">
        <v>161</v>
      </c>
      <c r="E26" s="51">
        <f>1800/30*G26</f>
        <v>780</v>
      </c>
      <c r="F26" s="90">
        <f>E26+300</f>
        <v>1080</v>
      </c>
      <c r="G26" s="17">
        <v>13</v>
      </c>
      <c r="H26" s="18" t="str">
        <f t="shared" si="5"/>
        <v>V</v>
      </c>
      <c r="I26" s="50" t="s">
        <v>15</v>
      </c>
      <c r="J26" s="112">
        <v>7017</v>
      </c>
      <c r="K26" s="21" t="s">
        <v>70</v>
      </c>
      <c r="L26" s="51">
        <v>700</v>
      </c>
      <c r="M26" s="22">
        <f t="shared" si="8"/>
        <v>1000</v>
      </c>
      <c r="N26" s="23"/>
      <c r="O26" s="143"/>
    </row>
    <row r="27" spans="2:19" ht="35.1" customHeight="1">
      <c r="B27" s="25"/>
      <c r="C27" s="20"/>
      <c r="D27" s="89"/>
      <c r="E27" s="51"/>
      <c r="F27" s="90"/>
      <c r="G27" s="17"/>
      <c r="H27" s="18" t="str">
        <f t="shared" si="5"/>
        <v>V</v>
      </c>
      <c r="I27" s="114" t="s">
        <v>15</v>
      </c>
      <c r="J27" s="112">
        <v>7019</v>
      </c>
      <c r="K27" s="30" t="s">
        <v>72</v>
      </c>
      <c r="L27" s="51">
        <v>700</v>
      </c>
      <c r="M27" s="22">
        <f t="shared" si="8"/>
        <v>1000</v>
      </c>
      <c r="N27" s="23"/>
      <c r="O27" s="135"/>
      <c r="Q27" s="124"/>
      <c r="R27" s="124" t="s">
        <v>62</v>
      </c>
      <c r="S27" s="125">
        <f>SUM(M24:M37)</f>
        <v>19880</v>
      </c>
    </row>
    <row r="28" spans="2:19" ht="35.1" customHeight="1" thickBot="1">
      <c r="B28" s="19"/>
      <c r="C28" s="20"/>
      <c r="D28" s="89"/>
      <c r="E28" s="51">
        <f t="shared" si="4"/>
        <v>0</v>
      </c>
      <c r="F28" s="90"/>
      <c r="G28" s="17"/>
      <c r="H28" s="18" t="str">
        <f t="shared" si="5"/>
        <v>V</v>
      </c>
      <c r="I28" s="114" t="s">
        <v>15</v>
      </c>
      <c r="J28" s="112">
        <v>7020</v>
      </c>
      <c r="K28" s="30" t="s">
        <v>74</v>
      </c>
      <c r="L28" s="51">
        <v>800</v>
      </c>
      <c r="M28" s="22">
        <f t="shared" si="8"/>
        <v>1100</v>
      </c>
      <c r="N28" s="23"/>
      <c r="O28" s="128"/>
      <c r="R28" s="122" t="s">
        <v>64</v>
      </c>
      <c r="S28" s="126">
        <f>SUM(F4:F37,M4:M16,M20:M21,M24:M36)</f>
        <v>91620</v>
      </c>
    </row>
    <row r="29" spans="2:19" ht="35.1" customHeight="1" thickTop="1">
      <c r="B29" s="19" t="s">
        <v>59</v>
      </c>
      <c r="C29" s="20">
        <v>2015</v>
      </c>
      <c r="D29" s="89" t="s">
        <v>60</v>
      </c>
      <c r="E29" s="51">
        <f t="shared" si="4"/>
        <v>600</v>
      </c>
      <c r="F29" s="90">
        <f t="shared" ref="F29:F33" si="9">E29+300</f>
        <v>900</v>
      </c>
      <c r="G29" s="17">
        <v>10</v>
      </c>
      <c r="H29" s="18" t="str">
        <f t="shared" si="5"/>
        <v>V</v>
      </c>
      <c r="I29" s="114" t="s">
        <v>15</v>
      </c>
      <c r="J29" s="112">
        <v>7036</v>
      </c>
      <c r="K29" s="30" t="s">
        <v>141</v>
      </c>
      <c r="L29" s="51">
        <v>800</v>
      </c>
      <c r="M29" s="22">
        <f t="shared" si="8"/>
        <v>1100</v>
      </c>
      <c r="N29" s="23"/>
      <c r="O29" s="175"/>
      <c r="R29" s="5" t="s">
        <v>68</v>
      </c>
      <c r="S29" s="76">
        <f>SUM(S20+S25+S27)</f>
        <v>93560</v>
      </c>
    </row>
    <row r="30" spans="2:19" ht="35.1" customHeight="1">
      <c r="B30" s="19"/>
      <c r="C30" s="20">
        <v>2043</v>
      </c>
      <c r="D30" s="89" t="s">
        <v>63</v>
      </c>
      <c r="E30" s="51">
        <f t="shared" si="4"/>
        <v>1800</v>
      </c>
      <c r="F30" s="90">
        <f t="shared" si="9"/>
        <v>2100</v>
      </c>
      <c r="G30" s="17">
        <v>30</v>
      </c>
      <c r="H30" s="18" t="str">
        <f t="shared" si="5"/>
        <v xml:space="preserve"> </v>
      </c>
      <c r="I30" s="114" t="s">
        <v>15</v>
      </c>
      <c r="J30" s="112" t="s">
        <v>170</v>
      </c>
      <c r="K30" s="141" t="s">
        <v>169</v>
      </c>
      <c r="L30" s="51">
        <v>700</v>
      </c>
      <c r="M30" s="22">
        <f>L30+300</f>
        <v>1000</v>
      </c>
      <c r="N30" s="23"/>
      <c r="O30" s="113"/>
    </row>
    <row r="31" spans="2:19" ht="35.1" customHeight="1">
      <c r="B31" s="19" t="s">
        <v>65</v>
      </c>
      <c r="C31" s="20">
        <v>2013</v>
      </c>
      <c r="D31" s="89" t="s">
        <v>66</v>
      </c>
      <c r="E31" s="51">
        <f t="shared" si="4"/>
        <v>480</v>
      </c>
      <c r="F31" s="90">
        <f t="shared" si="9"/>
        <v>780</v>
      </c>
      <c r="G31" s="17">
        <v>8</v>
      </c>
      <c r="H31" s="18" t="str">
        <f t="shared" si="5"/>
        <v>V</v>
      </c>
      <c r="I31" s="114" t="s">
        <v>15</v>
      </c>
      <c r="J31" s="112" t="s">
        <v>172</v>
      </c>
      <c r="K31" s="141" t="s">
        <v>173</v>
      </c>
      <c r="L31" s="51">
        <v>700</v>
      </c>
      <c r="M31" s="22">
        <f>L31+300</f>
        <v>1000</v>
      </c>
      <c r="N31" s="23"/>
      <c r="O31" s="113"/>
    </row>
    <row r="32" spans="2:19" ht="35.1" customHeight="1">
      <c r="B32" s="25" t="s">
        <v>15</v>
      </c>
      <c r="C32" s="20">
        <v>2014</v>
      </c>
      <c r="D32" s="89" t="s">
        <v>69</v>
      </c>
      <c r="E32" s="51">
        <f t="shared" si="4"/>
        <v>1800</v>
      </c>
      <c r="F32" s="90">
        <f t="shared" si="9"/>
        <v>2100</v>
      </c>
      <c r="G32" s="17">
        <v>30</v>
      </c>
      <c r="H32" s="18" t="str">
        <f t="shared" si="5"/>
        <v xml:space="preserve"> </v>
      </c>
      <c r="I32" s="50" t="s">
        <v>15</v>
      </c>
      <c r="J32" s="112">
        <v>7006</v>
      </c>
      <c r="K32" s="21" t="s">
        <v>54</v>
      </c>
      <c r="L32" s="51">
        <v>1640</v>
      </c>
      <c r="M32" s="22">
        <f t="shared" ref="M32:M37" si="10">L32+300</f>
        <v>1940</v>
      </c>
      <c r="N32" s="23"/>
      <c r="O32" s="176" t="s">
        <v>213</v>
      </c>
      <c r="P32" s="115"/>
      <c r="R32" s="3" t="s">
        <v>8</v>
      </c>
    </row>
    <row r="33" spans="1:17" ht="35.1" customHeight="1">
      <c r="B33" s="25" t="s">
        <v>15</v>
      </c>
      <c r="C33" s="20">
        <v>2045</v>
      </c>
      <c r="D33" s="89" t="s">
        <v>71</v>
      </c>
      <c r="E33" s="51">
        <f t="shared" si="4"/>
        <v>1800</v>
      </c>
      <c r="F33" s="90">
        <f t="shared" si="9"/>
        <v>2100</v>
      </c>
      <c r="G33" s="23">
        <v>30</v>
      </c>
      <c r="H33" s="18" t="str">
        <f t="shared" si="5"/>
        <v xml:space="preserve"> </v>
      </c>
      <c r="I33" s="50" t="s">
        <v>15</v>
      </c>
      <c r="J33" s="112">
        <v>7016</v>
      </c>
      <c r="K33" s="21" t="s">
        <v>61</v>
      </c>
      <c r="L33" s="51">
        <v>1580</v>
      </c>
      <c r="M33" s="22">
        <f t="shared" si="10"/>
        <v>1880</v>
      </c>
      <c r="N33" s="23"/>
      <c r="O33" s="176" t="s">
        <v>214</v>
      </c>
      <c r="P33" s="116"/>
    </row>
    <row r="34" spans="1:17" ht="35.1" customHeight="1">
      <c r="B34" s="91" t="s">
        <v>57</v>
      </c>
      <c r="C34" s="20">
        <v>2020</v>
      </c>
      <c r="D34" s="89" t="s">
        <v>58</v>
      </c>
      <c r="E34" s="51">
        <f t="shared" ref="E34" si="11">1800/30*G34</f>
        <v>1680</v>
      </c>
      <c r="F34" s="90">
        <f t="shared" ref="F34" si="12">E34+300</f>
        <v>1980</v>
      </c>
      <c r="G34" s="23">
        <v>28</v>
      </c>
      <c r="H34" s="18" t="str">
        <f t="shared" si="5"/>
        <v>V</v>
      </c>
      <c r="I34" s="114" t="s">
        <v>15</v>
      </c>
      <c r="J34" s="112">
        <v>7012</v>
      </c>
      <c r="K34" s="21" t="s">
        <v>67</v>
      </c>
      <c r="L34" s="51">
        <v>1640</v>
      </c>
      <c r="M34" s="22">
        <f t="shared" si="10"/>
        <v>1940</v>
      </c>
      <c r="N34" s="118"/>
      <c r="O34" s="176" t="s">
        <v>215</v>
      </c>
      <c r="P34" s="117"/>
    </row>
    <row r="35" spans="1:17" ht="35.1" customHeight="1">
      <c r="B35" s="91"/>
      <c r="C35" s="20"/>
      <c r="D35" s="89"/>
      <c r="E35" s="51"/>
      <c r="F35" s="90"/>
      <c r="G35" s="23"/>
      <c r="H35" s="18" t="str">
        <f t="shared" si="5"/>
        <v>V</v>
      </c>
      <c r="I35" s="114" t="s">
        <v>15</v>
      </c>
      <c r="J35" s="112">
        <v>7022</v>
      </c>
      <c r="K35" s="30" t="s">
        <v>75</v>
      </c>
      <c r="L35" s="51">
        <v>1740</v>
      </c>
      <c r="M35" s="22">
        <f t="shared" si="10"/>
        <v>2040</v>
      </c>
      <c r="N35" s="118"/>
      <c r="O35" s="176" t="s">
        <v>216</v>
      </c>
    </row>
    <row r="36" spans="1:17" ht="35.1" customHeight="1">
      <c r="B36" s="91"/>
      <c r="C36" s="20"/>
      <c r="D36" s="89"/>
      <c r="E36" s="51"/>
      <c r="F36" s="90"/>
      <c r="G36" s="23"/>
      <c r="H36" s="18" t="str">
        <f t="shared" si="5"/>
        <v>V</v>
      </c>
      <c r="I36" s="151" t="s">
        <v>15</v>
      </c>
      <c r="J36" s="112">
        <v>7027</v>
      </c>
      <c r="K36" s="107" t="s">
        <v>76</v>
      </c>
      <c r="L36" s="51">
        <v>1640</v>
      </c>
      <c r="M36" s="22">
        <f t="shared" si="10"/>
        <v>1940</v>
      </c>
      <c r="N36" s="154"/>
      <c r="O36" s="176" t="s">
        <v>217</v>
      </c>
    </row>
    <row r="37" spans="1:17" ht="35.1" customHeight="1" thickBot="1">
      <c r="B37" s="91"/>
      <c r="C37" s="20"/>
      <c r="D37" s="89"/>
      <c r="E37" s="51"/>
      <c r="F37" s="90"/>
      <c r="G37" s="146"/>
      <c r="H37" s="147"/>
      <c r="I37" s="55" t="s">
        <v>15</v>
      </c>
      <c r="J37" s="152">
        <v>7041</v>
      </c>
      <c r="K37" s="153" t="s">
        <v>146</v>
      </c>
      <c r="L37" s="150">
        <v>1640</v>
      </c>
      <c r="M37" s="33">
        <f t="shared" si="10"/>
        <v>1940</v>
      </c>
      <c r="N37" s="148"/>
      <c r="O37" s="176" t="s">
        <v>218</v>
      </c>
    </row>
    <row r="38" spans="1:17" s="2" customFormat="1" ht="25.15" customHeight="1" thickTop="1">
      <c r="A38" s="2" t="s">
        <v>8</v>
      </c>
      <c r="B38" s="205" t="s">
        <v>219</v>
      </c>
      <c r="C38" s="205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61" t="s">
        <v>77</v>
      </c>
      <c r="Q38" s="77" t="s">
        <v>78</v>
      </c>
    </row>
    <row r="39" spans="1:17" s="2" customFormat="1" ht="24.6" customHeight="1">
      <c r="B39" s="187" t="s">
        <v>220</v>
      </c>
      <c r="C39" s="187"/>
      <c r="D39" s="187"/>
      <c r="E39" s="187"/>
      <c r="F39" s="187"/>
      <c r="G39" s="187"/>
      <c r="H39" s="187"/>
      <c r="I39" s="187"/>
      <c r="J39" s="187"/>
      <c r="K39" s="187"/>
      <c r="L39" s="187"/>
      <c r="M39" s="187"/>
      <c r="N39" s="187"/>
      <c r="O39" s="187"/>
      <c r="P39" s="62"/>
      <c r="Q39" s="77" t="s">
        <v>79</v>
      </c>
    </row>
    <row r="40" spans="1:17" s="2" customFormat="1" ht="24.6" customHeight="1">
      <c r="B40" s="186" t="s">
        <v>221</v>
      </c>
      <c r="C40" s="186"/>
      <c r="D40" s="186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</row>
    <row r="41" spans="1:17" s="2" customFormat="1" ht="24.6" customHeight="1">
      <c r="B41" s="186" t="s">
        <v>222</v>
      </c>
      <c r="C41" s="186"/>
      <c r="D41" s="186"/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86"/>
    </row>
  </sheetData>
  <mergeCells count="8">
    <mergeCell ref="B40:O40"/>
    <mergeCell ref="B41:O41"/>
    <mergeCell ref="B1:O1"/>
    <mergeCell ref="L2:O2"/>
    <mergeCell ref="I19:O19"/>
    <mergeCell ref="I23:O23"/>
    <mergeCell ref="B38:O38"/>
    <mergeCell ref="B39:O39"/>
  </mergeCells>
  <phoneticPr fontId="26" type="noConversion"/>
  <conditionalFormatting sqref="G4:G37">
    <cfRule type="cellIs" dxfId="7" priority="2" stopIfTrue="1" operator="lessThan">
      <formula>30</formula>
    </cfRule>
  </conditionalFormatting>
  <conditionalFormatting sqref="N4:N18">
    <cfRule type="cellIs" dxfId="6" priority="1" stopIfTrue="1" operator="lessThan">
      <formula>30</formula>
    </cfRule>
  </conditionalFormatting>
  <conditionalFormatting sqref="N20:N22">
    <cfRule type="cellIs" dxfId="5" priority="3" stopIfTrue="1" operator="lessThan">
      <formula>30</formula>
    </cfRule>
  </conditionalFormatting>
  <printOptions horizontalCentered="1"/>
  <pageMargins left="0.23622047244094499" right="0.23622047244094499" top="0.15748031496063" bottom="0.15748031496063" header="0" footer="0"/>
  <pageSetup scale="62" orientation="portrait" horizontalDpi="180" verticalDpi="18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0B475-DDEF-489E-A802-1F94200C4FBB}">
  <sheetPr>
    <pageSetUpPr fitToPage="1"/>
  </sheetPr>
  <dimension ref="A1:W31"/>
  <sheetViews>
    <sheetView zoomScale="70" zoomScaleNormal="70" workbookViewId="0">
      <selection activeCell="S24" sqref="S24"/>
    </sheetView>
  </sheetViews>
  <sheetFormatPr defaultColWidth="9" defaultRowHeight="16.5"/>
  <cols>
    <col min="1" max="1" width="1.875" style="3" customWidth="1"/>
    <col min="2" max="2" width="10" style="4" customWidth="1"/>
    <col min="3" max="3" width="9.875" style="4" customWidth="1"/>
    <col min="4" max="4" width="10.875" style="4" customWidth="1"/>
    <col min="5" max="5" width="10.5" style="4" customWidth="1"/>
    <col min="6" max="6" width="11" style="4" customWidth="1"/>
    <col min="7" max="7" width="9.125" style="4" customWidth="1"/>
    <col min="8" max="8" width="10.375" style="4" customWidth="1"/>
    <col min="9" max="9" width="10" style="4" customWidth="1"/>
    <col min="10" max="10" width="9.875" style="4" customWidth="1"/>
    <col min="11" max="11" width="10.875" style="4" customWidth="1"/>
    <col min="12" max="12" width="10.5" style="4" customWidth="1"/>
    <col min="13" max="13" width="11" style="4" customWidth="1"/>
    <col min="14" max="14" width="9" style="4" customWidth="1"/>
    <col min="15" max="15" width="10.5" style="4" customWidth="1"/>
    <col min="16" max="16" width="9" style="3" customWidth="1"/>
    <col min="17" max="17" width="19.125" style="3" customWidth="1"/>
    <col min="18" max="18" width="14" style="5" customWidth="1"/>
    <col min="19" max="19" width="16.75" style="3" customWidth="1"/>
    <col min="20" max="256" width="9" style="3"/>
    <col min="257" max="257" width="1.875" style="3" customWidth="1"/>
    <col min="258" max="258" width="10" style="3" customWidth="1"/>
    <col min="259" max="259" width="9.875" style="3" customWidth="1"/>
    <col min="260" max="260" width="10.875" style="3" customWidth="1"/>
    <col min="261" max="261" width="10.5" style="3" customWidth="1"/>
    <col min="262" max="262" width="11" style="3" customWidth="1"/>
    <col min="263" max="263" width="9.125" style="3" customWidth="1"/>
    <col min="264" max="264" width="10.375" style="3" customWidth="1"/>
    <col min="265" max="265" width="10" style="3" customWidth="1"/>
    <col min="266" max="266" width="9.875" style="3" customWidth="1"/>
    <col min="267" max="267" width="10.875" style="3" customWidth="1"/>
    <col min="268" max="268" width="10.5" style="3" customWidth="1"/>
    <col min="269" max="269" width="11" style="3" customWidth="1"/>
    <col min="270" max="270" width="9" style="3"/>
    <col min="271" max="271" width="10.5" style="3" customWidth="1"/>
    <col min="272" max="272" width="9" style="3"/>
    <col min="273" max="273" width="19.125" style="3" customWidth="1"/>
    <col min="274" max="274" width="14" style="3" customWidth="1"/>
    <col min="275" max="275" width="16.75" style="3" customWidth="1"/>
    <col min="276" max="512" width="9" style="3"/>
    <col min="513" max="513" width="1.875" style="3" customWidth="1"/>
    <col min="514" max="514" width="10" style="3" customWidth="1"/>
    <col min="515" max="515" width="9.875" style="3" customWidth="1"/>
    <col min="516" max="516" width="10.875" style="3" customWidth="1"/>
    <col min="517" max="517" width="10.5" style="3" customWidth="1"/>
    <col min="518" max="518" width="11" style="3" customWidth="1"/>
    <col min="519" max="519" width="9.125" style="3" customWidth="1"/>
    <col min="520" max="520" width="10.375" style="3" customWidth="1"/>
    <col min="521" max="521" width="10" style="3" customWidth="1"/>
    <col min="522" max="522" width="9.875" style="3" customWidth="1"/>
    <col min="523" max="523" width="10.875" style="3" customWidth="1"/>
    <col min="524" max="524" width="10.5" style="3" customWidth="1"/>
    <col min="525" max="525" width="11" style="3" customWidth="1"/>
    <col min="526" max="526" width="9" style="3"/>
    <col min="527" max="527" width="10.5" style="3" customWidth="1"/>
    <col min="528" max="528" width="9" style="3"/>
    <col min="529" max="529" width="19.125" style="3" customWidth="1"/>
    <col min="530" max="530" width="14" style="3" customWidth="1"/>
    <col min="531" max="531" width="16.75" style="3" customWidth="1"/>
    <col min="532" max="768" width="9" style="3"/>
    <col min="769" max="769" width="1.875" style="3" customWidth="1"/>
    <col min="770" max="770" width="10" style="3" customWidth="1"/>
    <col min="771" max="771" width="9.875" style="3" customWidth="1"/>
    <col min="772" max="772" width="10.875" style="3" customWidth="1"/>
    <col min="773" max="773" width="10.5" style="3" customWidth="1"/>
    <col min="774" max="774" width="11" style="3" customWidth="1"/>
    <col min="775" max="775" width="9.125" style="3" customWidth="1"/>
    <col min="776" max="776" width="10.375" style="3" customWidth="1"/>
    <col min="777" max="777" width="10" style="3" customWidth="1"/>
    <col min="778" max="778" width="9.875" style="3" customWidth="1"/>
    <col min="779" max="779" width="10.875" style="3" customWidth="1"/>
    <col min="780" max="780" width="10.5" style="3" customWidth="1"/>
    <col min="781" max="781" width="11" style="3" customWidth="1"/>
    <col min="782" max="782" width="9" style="3"/>
    <col min="783" max="783" width="10.5" style="3" customWidth="1"/>
    <col min="784" max="784" width="9" style="3"/>
    <col min="785" max="785" width="19.125" style="3" customWidth="1"/>
    <col min="786" max="786" width="14" style="3" customWidth="1"/>
    <col min="787" max="787" width="16.75" style="3" customWidth="1"/>
    <col min="788" max="1024" width="9" style="3"/>
    <col min="1025" max="1025" width="1.875" style="3" customWidth="1"/>
    <col min="1026" max="1026" width="10" style="3" customWidth="1"/>
    <col min="1027" max="1027" width="9.875" style="3" customWidth="1"/>
    <col min="1028" max="1028" width="10.875" style="3" customWidth="1"/>
    <col min="1029" max="1029" width="10.5" style="3" customWidth="1"/>
    <col min="1030" max="1030" width="11" style="3" customWidth="1"/>
    <col min="1031" max="1031" width="9.125" style="3" customWidth="1"/>
    <col min="1032" max="1032" width="10.375" style="3" customWidth="1"/>
    <col min="1033" max="1033" width="10" style="3" customWidth="1"/>
    <col min="1034" max="1034" width="9.875" style="3" customWidth="1"/>
    <col min="1035" max="1035" width="10.875" style="3" customWidth="1"/>
    <col min="1036" max="1036" width="10.5" style="3" customWidth="1"/>
    <col min="1037" max="1037" width="11" style="3" customWidth="1"/>
    <col min="1038" max="1038" width="9" style="3"/>
    <col min="1039" max="1039" width="10.5" style="3" customWidth="1"/>
    <col min="1040" max="1040" width="9" style="3"/>
    <col min="1041" max="1041" width="19.125" style="3" customWidth="1"/>
    <col min="1042" max="1042" width="14" style="3" customWidth="1"/>
    <col min="1043" max="1043" width="16.75" style="3" customWidth="1"/>
    <col min="1044" max="1280" width="9" style="3"/>
    <col min="1281" max="1281" width="1.875" style="3" customWidth="1"/>
    <col min="1282" max="1282" width="10" style="3" customWidth="1"/>
    <col min="1283" max="1283" width="9.875" style="3" customWidth="1"/>
    <col min="1284" max="1284" width="10.875" style="3" customWidth="1"/>
    <col min="1285" max="1285" width="10.5" style="3" customWidth="1"/>
    <col min="1286" max="1286" width="11" style="3" customWidth="1"/>
    <col min="1287" max="1287" width="9.125" style="3" customWidth="1"/>
    <col min="1288" max="1288" width="10.375" style="3" customWidth="1"/>
    <col min="1289" max="1289" width="10" style="3" customWidth="1"/>
    <col min="1290" max="1290" width="9.875" style="3" customWidth="1"/>
    <col min="1291" max="1291" width="10.875" style="3" customWidth="1"/>
    <col min="1292" max="1292" width="10.5" style="3" customWidth="1"/>
    <col min="1293" max="1293" width="11" style="3" customWidth="1"/>
    <col min="1294" max="1294" width="9" style="3"/>
    <col min="1295" max="1295" width="10.5" style="3" customWidth="1"/>
    <col min="1296" max="1296" width="9" style="3"/>
    <col min="1297" max="1297" width="19.125" style="3" customWidth="1"/>
    <col min="1298" max="1298" width="14" style="3" customWidth="1"/>
    <col min="1299" max="1299" width="16.75" style="3" customWidth="1"/>
    <col min="1300" max="1536" width="9" style="3"/>
    <col min="1537" max="1537" width="1.875" style="3" customWidth="1"/>
    <col min="1538" max="1538" width="10" style="3" customWidth="1"/>
    <col min="1539" max="1539" width="9.875" style="3" customWidth="1"/>
    <col min="1540" max="1540" width="10.875" style="3" customWidth="1"/>
    <col min="1541" max="1541" width="10.5" style="3" customWidth="1"/>
    <col min="1542" max="1542" width="11" style="3" customWidth="1"/>
    <col min="1543" max="1543" width="9.125" style="3" customWidth="1"/>
    <col min="1544" max="1544" width="10.375" style="3" customWidth="1"/>
    <col min="1545" max="1545" width="10" style="3" customWidth="1"/>
    <col min="1546" max="1546" width="9.875" style="3" customWidth="1"/>
    <col min="1547" max="1547" width="10.875" style="3" customWidth="1"/>
    <col min="1548" max="1548" width="10.5" style="3" customWidth="1"/>
    <col min="1549" max="1549" width="11" style="3" customWidth="1"/>
    <col min="1550" max="1550" width="9" style="3"/>
    <col min="1551" max="1551" width="10.5" style="3" customWidth="1"/>
    <col min="1552" max="1552" width="9" style="3"/>
    <col min="1553" max="1553" width="19.125" style="3" customWidth="1"/>
    <col min="1554" max="1554" width="14" style="3" customWidth="1"/>
    <col min="1555" max="1555" width="16.75" style="3" customWidth="1"/>
    <col min="1556" max="1792" width="9" style="3"/>
    <col min="1793" max="1793" width="1.875" style="3" customWidth="1"/>
    <col min="1794" max="1794" width="10" style="3" customWidth="1"/>
    <col min="1795" max="1795" width="9.875" style="3" customWidth="1"/>
    <col min="1796" max="1796" width="10.875" style="3" customWidth="1"/>
    <col min="1797" max="1797" width="10.5" style="3" customWidth="1"/>
    <col min="1798" max="1798" width="11" style="3" customWidth="1"/>
    <col min="1799" max="1799" width="9.125" style="3" customWidth="1"/>
    <col min="1800" max="1800" width="10.375" style="3" customWidth="1"/>
    <col min="1801" max="1801" width="10" style="3" customWidth="1"/>
    <col min="1802" max="1802" width="9.875" style="3" customWidth="1"/>
    <col min="1803" max="1803" width="10.875" style="3" customWidth="1"/>
    <col min="1804" max="1804" width="10.5" style="3" customWidth="1"/>
    <col min="1805" max="1805" width="11" style="3" customWidth="1"/>
    <col min="1806" max="1806" width="9" style="3"/>
    <col min="1807" max="1807" width="10.5" style="3" customWidth="1"/>
    <col min="1808" max="1808" width="9" style="3"/>
    <col min="1809" max="1809" width="19.125" style="3" customWidth="1"/>
    <col min="1810" max="1810" width="14" style="3" customWidth="1"/>
    <col min="1811" max="1811" width="16.75" style="3" customWidth="1"/>
    <col min="1812" max="2048" width="9" style="3"/>
    <col min="2049" max="2049" width="1.875" style="3" customWidth="1"/>
    <col min="2050" max="2050" width="10" style="3" customWidth="1"/>
    <col min="2051" max="2051" width="9.875" style="3" customWidth="1"/>
    <col min="2052" max="2052" width="10.875" style="3" customWidth="1"/>
    <col min="2053" max="2053" width="10.5" style="3" customWidth="1"/>
    <col min="2054" max="2054" width="11" style="3" customWidth="1"/>
    <col min="2055" max="2055" width="9.125" style="3" customWidth="1"/>
    <col min="2056" max="2056" width="10.375" style="3" customWidth="1"/>
    <col min="2057" max="2057" width="10" style="3" customWidth="1"/>
    <col min="2058" max="2058" width="9.875" style="3" customWidth="1"/>
    <col min="2059" max="2059" width="10.875" style="3" customWidth="1"/>
    <col min="2060" max="2060" width="10.5" style="3" customWidth="1"/>
    <col min="2061" max="2061" width="11" style="3" customWidth="1"/>
    <col min="2062" max="2062" width="9" style="3"/>
    <col min="2063" max="2063" width="10.5" style="3" customWidth="1"/>
    <col min="2064" max="2064" width="9" style="3"/>
    <col min="2065" max="2065" width="19.125" style="3" customWidth="1"/>
    <col min="2066" max="2066" width="14" style="3" customWidth="1"/>
    <col min="2067" max="2067" width="16.75" style="3" customWidth="1"/>
    <col min="2068" max="2304" width="9" style="3"/>
    <col min="2305" max="2305" width="1.875" style="3" customWidth="1"/>
    <col min="2306" max="2306" width="10" style="3" customWidth="1"/>
    <col min="2307" max="2307" width="9.875" style="3" customWidth="1"/>
    <col min="2308" max="2308" width="10.875" style="3" customWidth="1"/>
    <col min="2309" max="2309" width="10.5" style="3" customWidth="1"/>
    <col min="2310" max="2310" width="11" style="3" customWidth="1"/>
    <col min="2311" max="2311" width="9.125" style="3" customWidth="1"/>
    <col min="2312" max="2312" width="10.375" style="3" customWidth="1"/>
    <col min="2313" max="2313" width="10" style="3" customWidth="1"/>
    <col min="2314" max="2314" width="9.875" style="3" customWidth="1"/>
    <col min="2315" max="2315" width="10.875" style="3" customWidth="1"/>
    <col min="2316" max="2316" width="10.5" style="3" customWidth="1"/>
    <col min="2317" max="2317" width="11" style="3" customWidth="1"/>
    <col min="2318" max="2318" width="9" style="3"/>
    <col min="2319" max="2319" width="10.5" style="3" customWidth="1"/>
    <col min="2320" max="2320" width="9" style="3"/>
    <col min="2321" max="2321" width="19.125" style="3" customWidth="1"/>
    <col min="2322" max="2322" width="14" style="3" customWidth="1"/>
    <col min="2323" max="2323" width="16.75" style="3" customWidth="1"/>
    <col min="2324" max="2560" width="9" style="3"/>
    <col min="2561" max="2561" width="1.875" style="3" customWidth="1"/>
    <col min="2562" max="2562" width="10" style="3" customWidth="1"/>
    <col min="2563" max="2563" width="9.875" style="3" customWidth="1"/>
    <col min="2564" max="2564" width="10.875" style="3" customWidth="1"/>
    <col min="2565" max="2565" width="10.5" style="3" customWidth="1"/>
    <col min="2566" max="2566" width="11" style="3" customWidth="1"/>
    <col min="2567" max="2567" width="9.125" style="3" customWidth="1"/>
    <col min="2568" max="2568" width="10.375" style="3" customWidth="1"/>
    <col min="2569" max="2569" width="10" style="3" customWidth="1"/>
    <col min="2570" max="2570" width="9.875" style="3" customWidth="1"/>
    <col min="2571" max="2571" width="10.875" style="3" customWidth="1"/>
    <col min="2572" max="2572" width="10.5" style="3" customWidth="1"/>
    <col min="2573" max="2573" width="11" style="3" customWidth="1"/>
    <col min="2574" max="2574" width="9" style="3"/>
    <col min="2575" max="2575" width="10.5" style="3" customWidth="1"/>
    <col min="2576" max="2576" width="9" style="3"/>
    <col min="2577" max="2577" width="19.125" style="3" customWidth="1"/>
    <col min="2578" max="2578" width="14" style="3" customWidth="1"/>
    <col min="2579" max="2579" width="16.75" style="3" customWidth="1"/>
    <col min="2580" max="2816" width="9" style="3"/>
    <col min="2817" max="2817" width="1.875" style="3" customWidth="1"/>
    <col min="2818" max="2818" width="10" style="3" customWidth="1"/>
    <col min="2819" max="2819" width="9.875" style="3" customWidth="1"/>
    <col min="2820" max="2820" width="10.875" style="3" customWidth="1"/>
    <col min="2821" max="2821" width="10.5" style="3" customWidth="1"/>
    <col min="2822" max="2822" width="11" style="3" customWidth="1"/>
    <col min="2823" max="2823" width="9.125" style="3" customWidth="1"/>
    <col min="2824" max="2824" width="10.375" style="3" customWidth="1"/>
    <col min="2825" max="2825" width="10" style="3" customWidth="1"/>
    <col min="2826" max="2826" width="9.875" style="3" customWidth="1"/>
    <col min="2827" max="2827" width="10.875" style="3" customWidth="1"/>
    <col min="2828" max="2828" width="10.5" style="3" customWidth="1"/>
    <col min="2829" max="2829" width="11" style="3" customWidth="1"/>
    <col min="2830" max="2830" width="9" style="3"/>
    <col min="2831" max="2831" width="10.5" style="3" customWidth="1"/>
    <col min="2832" max="2832" width="9" style="3"/>
    <col min="2833" max="2833" width="19.125" style="3" customWidth="1"/>
    <col min="2834" max="2834" width="14" style="3" customWidth="1"/>
    <col min="2835" max="2835" width="16.75" style="3" customWidth="1"/>
    <col min="2836" max="3072" width="9" style="3"/>
    <col min="3073" max="3073" width="1.875" style="3" customWidth="1"/>
    <col min="3074" max="3074" width="10" style="3" customWidth="1"/>
    <col min="3075" max="3075" width="9.875" style="3" customWidth="1"/>
    <col min="3076" max="3076" width="10.875" style="3" customWidth="1"/>
    <col min="3077" max="3077" width="10.5" style="3" customWidth="1"/>
    <col min="3078" max="3078" width="11" style="3" customWidth="1"/>
    <col min="3079" max="3079" width="9.125" style="3" customWidth="1"/>
    <col min="3080" max="3080" width="10.375" style="3" customWidth="1"/>
    <col min="3081" max="3081" width="10" style="3" customWidth="1"/>
    <col min="3082" max="3082" width="9.875" style="3" customWidth="1"/>
    <col min="3083" max="3083" width="10.875" style="3" customWidth="1"/>
    <col min="3084" max="3084" width="10.5" style="3" customWidth="1"/>
    <col min="3085" max="3085" width="11" style="3" customWidth="1"/>
    <col min="3086" max="3086" width="9" style="3"/>
    <col min="3087" max="3087" width="10.5" style="3" customWidth="1"/>
    <col min="3088" max="3088" width="9" style="3"/>
    <col min="3089" max="3089" width="19.125" style="3" customWidth="1"/>
    <col min="3090" max="3090" width="14" style="3" customWidth="1"/>
    <col min="3091" max="3091" width="16.75" style="3" customWidth="1"/>
    <col min="3092" max="3328" width="9" style="3"/>
    <col min="3329" max="3329" width="1.875" style="3" customWidth="1"/>
    <col min="3330" max="3330" width="10" style="3" customWidth="1"/>
    <col min="3331" max="3331" width="9.875" style="3" customWidth="1"/>
    <col min="3332" max="3332" width="10.875" style="3" customWidth="1"/>
    <col min="3333" max="3333" width="10.5" style="3" customWidth="1"/>
    <col min="3334" max="3334" width="11" style="3" customWidth="1"/>
    <col min="3335" max="3335" width="9.125" style="3" customWidth="1"/>
    <col min="3336" max="3336" width="10.375" style="3" customWidth="1"/>
    <col min="3337" max="3337" width="10" style="3" customWidth="1"/>
    <col min="3338" max="3338" width="9.875" style="3" customWidth="1"/>
    <col min="3339" max="3339" width="10.875" style="3" customWidth="1"/>
    <col min="3340" max="3340" width="10.5" style="3" customWidth="1"/>
    <col min="3341" max="3341" width="11" style="3" customWidth="1"/>
    <col min="3342" max="3342" width="9" style="3"/>
    <col min="3343" max="3343" width="10.5" style="3" customWidth="1"/>
    <col min="3344" max="3344" width="9" style="3"/>
    <col min="3345" max="3345" width="19.125" style="3" customWidth="1"/>
    <col min="3346" max="3346" width="14" style="3" customWidth="1"/>
    <col min="3347" max="3347" width="16.75" style="3" customWidth="1"/>
    <col min="3348" max="3584" width="9" style="3"/>
    <col min="3585" max="3585" width="1.875" style="3" customWidth="1"/>
    <col min="3586" max="3586" width="10" style="3" customWidth="1"/>
    <col min="3587" max="3587" width="9.875" style="3" customWidth="1"/>
    <col min="3588" max="3588" width="10.875" style="3" customWidth="1"/>
    <col min="3589" max="3589" width="10.5" style="3" customWidth="1"/>
    <col min="3590" max="3590" width="11" style="3" customWidth="1"/>
    <col min="3591" max="3591" width="9.125" style="3" customWidth="1"/>
    <col min="3592" max="3592" width="10.375" style="3" customWidth="1"/>
    <col min="3593" max="3593" width="10" style="3" customWidth="1"/>
    <col min="3594" max="3594" width="9.875" style="3" customWidth="1"/>
    <col min="3595" max="3595" width="10.875" style="3" customWidth="1"/>
    <col min="3596" max="3596" width="10.5" style="3" customWidth="1"/>
    <col min="3597" max="3597" width="11" style="3" customWidth="1"/>
    <col min="3598" max="3598" width="9" style="3"/>
    <col min="3599" max="3599" width="10.5" style="3" customWidth="1"/>
    <col min="3600" max="3600" width="9" style="3"/>
    <col min="3601" max="3601" width="19.125" style="3" customWidth="1"/>
    <col min="3602" max="3602" width="14" style="3" customWidth="1"/>
    <col min="3603" max="3603" width="16.75" style="3" customWidth="1"/>
    <col min="3604" max="3840" width="9" style="3"/>
    <col min="3841" max="3841" width="1.875" style="3" customWidth="1"/>
    <col min="3842" max="3842" width="10" style="3" customWidth="1"/>
    <col min="3843" max="3843" width="9.875" style="3" customWidth="1"/>
    <col min="3844" max="3844" width="10.875" style="3" customWidth="1"/>
    <col min="3845" max="3845" width="10.5" style="3" customWidth="1"/>
    <col min="3846" max="3846" width="11" style="3" customWidth="1"/>
    <col min="3847" max="3847" width="9.125" style="3" customWidth="1"/>
    <col min="3848" max="3848" width="10.375" style="3" customWidth="1"/>
    <col min="3849" max="3849" width="10" style="3" customWidth="1"/>
    <col min="3850" max="3850" width="9.875" style="3" customWidth="1"/>
    <col min="3851" max="3851" width="10.875" style="3" customWidth="1"/>
    <col min="3852" max="3852" width="10.5" style="3" customWidth="1"/>
    <col min="3853" max="3853" width="11" style="3" customWidth="1"/>
    <col min="3854" max="3854" width="9" style="3"/>
    <col min="3855" max="3855" width="10.5" style="3" customWidth="1"/>
    <col min="3856" max="3856" width="9" style="3"/>
    <col min="3857" max="3857" width="19.125" style="3" customWidth="1"/>
    <col min="3858" max="3858" width="14" style="3" customWidth="1"/>
    <col min="3859" max="3859" width="16.75" style="3" customWidth="1"/>
    <col min="3860" max="4096" width="9" style="3"/>
    <col min="4097" max="4097" width="1.875" style="3" customWidth="1"/>
    <col min="4098" max="4098" width="10" style="3" customWidth="1"/>
    <col min="4099" max="4099" width="9.875" style="3" customWidth="1"/>
    <col min="4100" max="4100" width="10.875" style="3" customWidth="1"/>
    <col min="4101" max="4101" width="10.5" style="3" customWidth="1"/>
    <col min="4102" max="4102" width="11" style="3" customWidth="1"/>
    <col min="4103" max="4103" width="9.125" style="3" customWidth="1"/>
    <col min="4104" max="4104" width="10.375" style="3" customWidth="1"/>
    <col min="4105" max="4105" width="10" style="3" customWidth="1"/>
    <col min="4106" max="4106" width="9.875" style="3" customWidth="1"/>
    <col min="4107" max="4107" width="10.875" style="3" customWidth="1"/>
    <col min="4108" max="4108" width="10.5" style="3" customWidth="1"/>
    <col min="4109" max="4109" width="11" style="3" customWidth="1"/>
    <col min="4110" max="4110" width="9" style="3"/>
    <col min="4111" max="4111" width="10.5" style="3" customWidth="1"/>
    <col min="4112" max="4112" width="9" style="3"/>
    <col min="4113" max="4113" width="19.125" style="3" customWidth="1"/>
    <col min="4114" max="4114" width="14" style="3" customWidth="1"/>
    <col min="4115" max="4115" width="16.75" style="3" customWidth="1"/>
    <col min="4116" max="4352" width="9" style="3"/>
    <col min="4353" max="4353" width="1.875" style="3" customWidth="1"/>
    <col min="4354" max="4354" width="10" style="3" customWidth="1"/>
    <col min="4355" max="4355" width="9.875" style="3" customWidth="1"/>
    <col min="4356" max="4356" width="10.875" style="3" customWidth="1"/>
    <col min="4357" max="4357" width="10.5" style="3" customWidth="1"/>
    <col min="4358" max="4358" width="11" style="3" customWidth="1"/>
    <col min="4359" max="4359" width="9.125" style="3" customWidth="1"/>
    <col min="4360" max="4360" width="10.375" style="3" customWidth="1"/>
    <col min="4361" max="4361" width="10" style="3" customWidth="1"/>
    <col min="4362" max="4362" width="9.875" style="3" customWidth="1"/>
    <col min="4363" max="4363" width="10.875" style="3" customWidth="1"/>
    <col min="4364" max="4364" width="10.5" style="3" customWidth="1"/>
    <col min="4365" max="4365" width="11" style="3" customWidth="1"/>
    <col min="4366" max="4366" width="9" style="3"/>
    <col min="4367" max="4367" width="10.5" style="3" customWidth="1"/>
    <col min="4368" max="4368" width="9" style="3"/>
    <col min="4369" max="4369" width="19.125" style="3" customWidth="1"/>
    <col min="4370" max="4370" width="14" style="3" customWidth="1"/>
    <col min="4371" max="4371" width="16.75" style="3" customWidth="1"/>
    <col min="4372" max="4608" width="9" style="3"/>
    <col min="4609" max="4609" width="1.875" style="3" customWidth="1"/>
    <col min="4610" max="4610" width="10" style="3" customWidth="1"/>
    <col min="4611" max="4611" width="9.875" style="3" customWidth="1"/>
    <col min="4612" max="4612" width="10.875" style="3" customWidth="1"/>
    <col min="4613" max="4613" width="10.5" style="3" customWidth="1"/>
    <col min="4614" max="4614" width="11" style="3" customWidth="1"/>
    <col min="4615" max="4615" width="9.125" style="3" customWidth="1"/>
    <col min="4616" max="4616" width="10.375" style="3" customWidth="1"/>
    <col min="4617" max="4617" width="10" style="3" customWidth="1"/>
    <col min="4618" max="4618" width="9.875" style="3" customWidth="1"/>
    <col min="4619" max="4619" width="10.875" style="3" customWidth="1"/>
    <col min="4620" max="4620" width="10.5" style="3" customWidth="1"/>
    <col min="4621" max="4621" width="11" style="3" customWidth="1"/>
    <col min="4622" max="4622" width="9" style="3"/>
    <col min="4623" max="4623" width="10.5" style="3" customWidth="1"/>
    <col min="4624" max="4624" width="9" style="3"/>
    <col min="4625" max="4625" width="19.125" style="3" customWidth="1"/>
    <col min="4626" max="4626" width="14" style="3" customWidth="1"/>
    <col min="4627" max="4627" width="16.75" style="3" customWidth="1"/>
    <col min="4628" max="4864" width="9" style="3"/>
    <col min="4865" max="4865" width="1.875" style="3" customWidth="1"/>
    <col min="4866" max="4866" width="10" style="3" customWidth="1"/>
    <col min="4867" max="4867" width="9.875" style="3" customWidth="1"/>
    <col min="4868" max="4868" width="10.875" style="3" customWidth="1"/>
    <col min="4869" max="4869" width="10.5" style="3" customWidth="1"/>
    <col min="4870" max="4870" width="11" style="3" customWidth="1"/>
    <col min="4871" max="4871" width="9.125" style="3" customWidth="1"/>
    <col min="4872" max="4872" width="10.375" style="3" customWidth="1"/>
    <col min="4873" max="4873" width="10" style="3" customWidth="1"/>
    <col min="4874" max="4874" width="9.875" style="3" customWidth="1"/>
    <col min="4875" max="4875" width="10.875" style="3" customWidth="1"/>
    <col min="4876" max="4876" width="10.5" style="3" customWidth="1"/>
    <col min="4877" max="4877" width="11" style="3" customWidth="1"/>
    <col min="4878" max="4878" width="9" style="3"/>
    <col min="4879" max="4879" width="10.5" style="3" customWidth="1"/>
    <col min="4880" max="4880" width="9" style="3"/>
    <col min="4881" max="4881" width="19.125" style="3" customWidth="1"/>
    <col min="4882" max="4882" width="14" style="3" customWidth="1"/>
    <col min="4883" max="4883" width="16.75" style="3" customWidth="1"/>
    <col min="4884" max="5120" width="9" style="3"/>
    <col min="5121" max="5121" width="1.875" style="3" customWidth="1"/>
    <col min="5122" max="5122" width="10" style="3" customWidth="1"/>
    <col min="5123" max="5123" width="9.875" style="3" customWidth="1"/>
    <col min="5124" max="5124" width="10.875" style="3" customWidth="1"/>
    <col min="5125" max="5125" width="10.5" style="3" customWidth="1"/>
    <col min="5126" max="5126" width="11" style="3" customWidth="1"/>
    <col min="5127" max="5127" width="9.125" style="3" customWidth="1"/>
    <col min="5128" max="5128" width="10.375" style="3" customWidth="1"/>
    <col min="5129" max="5129" width="10" style="3" customWidth="1"/>
    <col min="5130" max="5130" width="9.875" style="3" customWidth="1"/>
    <col min="5131" max="5131" width="10.875" style="3" customWidth="1"/>
    <col min="5132" max="5132" width="10.5" style="3" customWidth="1"/>
    <col min="5133" max="5133" width="11" style="3" customWidth="1"/>
    <col min="5134" max="5134" width="9" style="3"/>
    <col min="5135" max="5135" width="10.5" style="3" customWidth="1"/>
    <col min="5136" max="5136" width="9" style="3"/>
    <col min="5137" max="5137" width="19.125" style="3" customWidth="1"/>
    <col min="5138" max="5138" width="14" style="3" customWidth="1"/>
    <col min="5139" max="5139" width="16.75" style="3" customWidth="1"/>
    <col min="5140" max="5376" width="9" style="3"/>
    <col min="5377" max="5377" width="1.875" style="3" customWidth="1"/>
    <col min="5378" max="5378" width="10" style="3" customWidth="1"/>
    <col min="5379" max="5379" width="9.875" style="3" customWidth="1"/>
    <col min="5380" max="5380" width="10.875" style="3" customWidth="1"/>
    <col min="5381" max="5381" width="10.5" style="3" customWidth="1"/>
    <col min="5382" max="5382" width="11" style="3" customWidth="1"/>
    <col min="5383" max="5383" width="9.125" style="3" customWidth="1"/>
    <col min="5384" max="5384" width="10.375" style="3" customWidth="1"/>
    <col min="5385" max="5385" width="10" style="3" customWidth="1"/>
    <col min="5386" max="5386" width="9.875" style="3" customWidth="1"/>
    <col min="5387" max="5387" width="10.875" style="3" customWidth="1"/>
    <col min="5388" max="5388" width="10.5" style="3" customWidth="1"/>
    <col min="5389" max="5389" width="11" style="3" customWidth="1"/>
    <col min="5390" max="5390" width="9" style="3"/>
    <col min="5391" max="5391" width="10.5" style="3" customWidth="1"/>
    <col min="5392" max="5392" width="9" style="3"/>
    <col min="5393" max="5393" width="19.125" style="3" customWidth="1"/>
    <col min="5394" max="5394" width="14" style="3" customWidth="1"/>
    <col min="5395" max="5395" width="16.75" style="3" customWidth="1"/>
    <col min="5396" max="5632" width="9" style="3"/>
    <col min="5633" max="5633" width="1.875" style="3" customWidth="1"/>
    <col min="5634" max="5634" width="10" style="3" customWidth="1"/>
    <col min="5635" max="5635" width="9.875" style="3" customWidth="1"/>
    <col min="5636" max="5636" width="10.875" style="3" customWidth="1"/>
    <col min="5637" max="5637" width="10.5" style="3" customWidth="1"/>
    <col min="5638" max="5638" width="11" style="3" customWidth="1"/>
    <col min="5639" max="5639" width="9.125" style="3" customWidth="1"/>
    <col min="5640" max="5640" width="10.375" style="3" customWidth="1"/>
    <col min="5641" max="5641" width="10" style="3" customWidth="1"/>
    <col min="5642" max="5642" width="9.875" style="3" customWidth="1"/>
    <col min="5643" max="5643" width="10.875" style="3" customWidth="1"/>
    <col min="5644" max="5644" width="10.5" style="3" customWidth="1"/>
    <col min="5645" max="5645" width="11" style="3" customWidth="1"/>
    <col min="5646" max="5646" width="9" style="3"/>
    <col min="5647" max="5647" width="10.5" style="3" customWidth="1"/>
    <col min="5648" max="5648" width="9" style="3"/>
    <col min="5649" max="5649" width="19.125" style="3" customWidth="1"/>
    <col min="5650" max="5650" width="14" style="3" customWidth="1"/>
    <col min="5651" max="5651" width="16.75" style="3" customWidth="1"/>
    <col min="5652" max="5888" width="9" style="3"/>
    <col min="5889" max="5889" width="1.875" style="3" customWidth="1"/>
    <col min="5890" max="5890" width="10" style="3" customWidth="1"/>
    <col min="5891" max="5891" width="9.875" style="3" customWidth="1"/>
    <col min="5892" max="5892" width="10.875" style="3" customWidth="1"/>
    <col min="5893" max="5893" width="10.5" style="3" customWidth="1"/>
    <col min="5894" max="5894" width="11" style="3" customWidth="1"/>
    <col min="5895" max="5895" width="9.125" style="3" customWidth="1"/>
    <col min="5896" max="5896" width="10.375" style="3" customWidth="1"/>
    <col min="5897" max="5897" width="10" style="3" customWidth="1"/>
    <col min="5898" max="5898" width="9.875" style="3" customWidth="1"/>
    <col min="5899" max="5899" width="10.875" style="3" customWidth="1"/>
    <col min="5900" max="5900" width="10.5" style="3" customWidth="1"/>
    <col min="5901" max="5901" width="11" style="3" customWidth="1"/>
    <col min="5902" max="5902" width="9" style="3"/>
    <col min="5903" max="5903" width="10.5" style="3" customWidth="1"/>
    <col min="5904" max="5904" width="9" style="3"/>
    <col min="5905" max="5905" width="19.125" style="3" customWidth="1"/>
    <col min="5906" max="5906" width="14" style="3" customWidth="1"/>
    <col min="5907" max="5907" width="16.75" style="3" customWidth="1"/>
    <col min="5908" max="6144" width="9" style="3"/>
    <col min="6145" max="6145" width="1.875" style="3" customWidth="1"/>
    <col min="6146" max="6146" width="10" style="3" customWidth="1"/>
    <col min="6147" max="6147" width="9.875" style="3" customWidth="1"/>
    <col min="6148" max="6148" width="10.875" style="3" customWidth="1"/>
    <col min="6149" max="6149" width="10.5" style="3" customWidth="1"/>
    <col min="6150" max="6150" width="11" style="3" customWidth="1"/>
    <col min="6151" max="6151" width="9.125" style="3" customWidth="1"/>
    <col min="6152" max="6152" width="10.375" style="3" customWidth="1"/>
    <col min="6153" max="6153" width="10" style="3" customWidth="1"/>
    <col min="6154" max="6154" width="9.875" style="3" customWidth="1"/>
    <col min="6155" max="6155" width="10.875" style="3" customWidth="1"/>
    <col min="6156" max="6156" width="10.5" style="3" customWidth="1"/>
    <col min="6157" max="6157" width="11" style="3" customWidth="1"/>
    <col min="6158" max="6158" width="9" style="3"/>
    <col min="6159" max="6159" width="10.5" style="3" customWidth="1"/>
    <col min="6160" max="6160" width="9" style="3"/>
    <col min="6161" max="6161" width="19.125" style="3" customWidth="1"/>
    <col min="6162" max="6162" width="14" style="3" customWidth="1"/>
    <col min="6163" max="6163" width="16.75" style="3" customWidth="1"/>
    <col min="6164" max="6400" width="9" style="3"/>
    <col min="6401" max="6401" width="1.875" style="3" customWidth="1"/>
    <col min="6402" max="6402" width="10" style="3" customWidth="1"/>
    <col min="6403" max="6403" width="9.875" style="3" customWidth="1"/>
    <col min="6404" max="6404" width="10.875" style="3" customWidth="1"/>
    <col min="6405" max="6405" width="10.5" style="3" customWidth="1"/>
    <col min="6406" max="6406" width="11" style="3" customWidth="1"/>
    <col min="6407" max="6407" width="9.125" style="3" customWidth="1"/>
    <col min="6408" max="6408" width="10.375" style="3" customWidth="1"/>
    <col min="6409" max="6409" width="10" style="3" customWidth="1"/>
    <col min="6410" max="6410" width="9.875" style="3" customWidth="1"/>
    <col min="6411" max="6411" width="10.875" style="3" customWidth="1"/>
    <col min="6412" max="6412" width="10.5" style="3" customWidth="1"/>
    <col min="6413" max="6413" width="11" style="3" customWidth="1"/>
    <col min="6414" max="6414" width="9" style="3"/>
    <col min="6415" max="6415" width="10.5" style="3" customWidth="1"/>
    <col min="6416" max="6416" width="9" style="3"/>
    <col min="6417" max="6417" width="19.125" style="3" customWidth="1"/>
    <col min="6418" max="6418" width="14" style="3" customWidth="1"/>
    <col min="6419" max="6419" width="16.75" style="3" customWidth="1"/>
    <col min="6420" max="6656" width="9" style="3"/>
    <col min="6657" max="6657" width="1.875" style="3" customWidth="1"/>
    <col min="6658" max="6658" width="10" style="3" customWidth="1"/>
    <col min="6659" max="6659" width="9.875" style="3" customWidth="1"/>
    <col min="6660" max="6660" width="10.875" style="3" customWidth="1"/>
    <col min="6661" max="6661" width="10.5" style="3" customWidth="1"/>
    <col min="6662" max="6662" width="11" style="3" customWidth="1"/>
    <col min="6663" max="6663" width="9.125" style="3" customWidth="1"/>
    <col min="6664" max="6664" width="10.375" style="3" customWidth="1"/>
    <col min="6665" max="6665" width="10" style="3" customWidth="1"/>
    <col min="6666" max="6666" width="9.875" style="3" customWidth="1"/>
    <col min="6667" max="6667" width="10.875" style="3" customWidth="1"/>
    <col min="6668" max="6668" width="10.5" style="3" customWidth="1"/>
    <col min="6669" max="6669" width="11" style="3" customWidth="1"/>
    <col min="6670" max="6670" width="9" style="3"/>
    <col min="6671" max="6671" width="10.5" style="3" customWidth="1"/>
    <col min="6672" max="6672" width="9" style="3"/>
    <col min="6673" max="6673" width="19.125" style="3" customWidth="1"/>
    <col min="6674" max="6674" width="14" style="3" customWidth="1"/>
    <col min="6675" max="6675" width="16.75" style="3" customWidth="1"/>
    <col min="6676" max="6912" width="9" style="3"/>
    <col min="6913" max="6913" width="1.875" style="3" customWidth="1"/>
    <col min="6914" max="6914" width="10" style="3" customWidth="1"/>
    <col min="6915" max="6915" width="9.875" style="3" customWidth="1"/>
    <col min="6916" max="6916" width="10.875" style="3" customWidth="1"/>
    <col min="6917" max="6917" width="10.5" style="3" customWidth="1"/>
    <col min="6918" max="6918" width="11" style="3" customWidth="1"/>
    <col min="6919" max="6919" width="9.125" style="3" customWidth="1"/>
    <col min="6920" max="6920" width="10.375" style="3" customWidth="1"/>
    <col min="6921" max="6921" width="10" style="3" customWidth="1"/>
    <col min="6922" max="6922" width="9.875" style="3" customWidth="1"/>
    <col min="6923" max="6923" width="10.875" style="3" customWidth="1"/>
    <col min="6924" max="6924" width="10.5" style="3" customWidth="1"/>
    <col min="6925" max="6925" width="11" style="3" customWidth="1"/>
    <col min="6926" max="6926" width="9" style="3"/>
    <col min="6927" max="6927" width="10.5" style="3" customWidth="1"/>
    <col min="6928" max="6928" width="9" style="3"/>
    <col min="6929" max="6929" width="19.125" style="3" customWidth="1"/>
    <col min="6930" max="6930" width="14" style="3" customWidth="1"/>
    <col min="6931" max="6931" width="16.75" style="3" customWidth="1"/>
    <col min="6932" max="7168" width="9" style="3"/>
    <col min="7169" max="7169" width="1.875" style="3" customWidth="1"/>
    <col min="7170" max="7170" width="10" style="3" customWidth="1"/>
    <col min="7171" max="7171" width="9.875" style="3" customWidth="1"/>
    <col min="7172" max="7172" width="10.875" style="3" customWidth="1"/>
    <col min="7173" max="7173" width="10.5" style="3" customWidth="1"/>
    <col min="7174" max="7174" width="11" style="3" customWidth="1"/>
    <col min="7175" max="7175" width="9.125" style="3" customWidth="1"/>
    <col min="7176" max="7176" width="10.375" style="3" customWidth="1"/>
    <col min="7177" max="7177" width="10" style="3" customWidth="1"/>
    <col min="7178" max="7178" width="9.875" style="3" customWidth="1"/>
    <col min="7179" max="7179" width="10.875" style="3" customWidth="1"/>
    <col min="7180" max="7180" width="10.5" style="3" customWidth="1"/>
    <col min="7181" max="7181" width="11" style="3" customWidth="1"/>
    <col min="7182" max="7182" width="9" style="3"/>
    <col min="7183" max="7183" width="10.5" style="3" customWidth="1"/>
    <col min="7184" max="7184" width="9" style="3"/>
    <col min="7185" max="7185" width="19.125" style="3" customWidth="1"/>
    <col min="7186" max="7186" width="14" style="3" customWidth="1"/>
    <col min="7187" max="7187" width="16.75" style="3" customWidth="1"/>
    <col min="7188" max="7424" width="9" style="3"/>
    <col min="7425" max="7425" width="1.875" style="3" customWidth="1"/>
    <col min="7426" max="7426" width="10" style="3" customWidth="1"/>
    <col min="7427" max="7427" width="9.875" style="3" customWidth="1"/>
    <col min="7428" max="7428" width="10.875" style="3" customWidth="1"/>
    <col min="7429" max="7429" width="10.5" style="3" customWidth="1"/>
    <col min="7430" max="7430" width="11" style="3" customWidth="1"/>
    <col min="7431" max="7431" width="9.125" style="3" customWidth="1"/>
    <col min="7432" max="7432" width="10.375" style="3" customWidth="1"/>
    <col min="7433" max="7433" width="10" style="3" customWidth="1"/>
    <col min="7434" max="7434" width="9.875" style="3" customWidth="1"/>
    <col min="7435" max="7435" width="10.875" style="3" customWidth="1"/>
    <col min="7436" max="7436" width="10.5" style="3" customWidth="1"/>
    <col min="7437" max="7437" width="11" style="3" customWidth="1"/>
    <col min="7438" max="7438" width="9" style="3"/>
    <col min="7439" max="7439" width="10.5" style="3" customWidth="1"/>
    <col min="7440" max="7440" width="9" style="3"/>
    <col min="7441" max="7441" width="19.125" style="3" customWidth="1"/>
    <col min="7442" max="7442" width="14" style="3" customWidth="1"/>
    <col min="7443" max="7443" width="16.75" style="3" customWidth="1"/>
    <col min="7444" max="7680" width="9" style="3"/>
    <col min="7681" max="7681" width="1.875" style="3" customWidth="1"/>
    <col min="7682" max="7682" width="10" style="3" customWidth="1"/>
    <col min="7683" max="7683" width="9.875" style="3" customWidth="1"/>
    <col min="7684" max="7684" width="10.875" style="3" customWidth="1"/>
    <col min="7685" max="7685" width="10.5" style="3" customWidth="1"/>
    <col min="7686" max="7686" width="11" style="3" customWidth="1"/>
    <col min="7687" max="7687" width="9.125" style="3" customWidth="1"/>
    <col min="7688" max="7688" width="10.375" style="3" customWidth="1"/>
    <col min="7689" max="7689" width="10" style="3" customWidth="1"/>
    <col min="7690" max="7690" width="9.875" style="3" customWidth="1"/>
    <col min="7691" max="7691" width="10.875" style="3" customWidth="1"/>
    <col min="7692" max="7692" width="10.5" style="3" customWidth="1"/>
    <col min="7693" max="7693" width="11" style="3" customWidth="1"/>
    <col min="7694" max="7694" width="9" style="3"/>
    <col min="7695" max="7695" width="10.5" style="3" customWidth="1"/>
    <col min="7696" max="7696" width="9" style="3"/>
    <col min="7697" max="7697" width="19.125" style="3" customWidth="1"/>
    <col min="7698" max="7698" width="14" style="3" customWidth="1"/>
    <col min="7699" max="7699" width="16.75" style="3" customWidth="1"/>
    <col min="7700" max="7936" width="9" style="3"/>
    <col min="7937" max="7937" width="1.875" style="3" customWidth="1"/>
    <col min="7938" max="7938" width="10" style="3" customWidth="1"/>
    <col min="7939" max="7939" width="9.875" style="3" customWidth="1"/>
    <col min="7940" max="7940" width="10.875" style="3" customWidth="1"/>
    <col min="7941" max="7941" width="10.5" style="3" customWidth="1"/>
    <col min="7942" max="7942" width="11" style="3" customWidth="1"/>
    <col min="7943" max="7943" width="9.125" style="3" customWidth="1"/>
    <col min="7944" max="7944" width="10.375" style="3" customWidth="1"/>
    <col min="7945" max="7945" width="10" style="3" customWidth="1"/>
    <col min="7946" max="7946" width="9.875" style="3" customWidth="1"/>
    <col min="7947" max="7947" width="10.875" style="3" customWidth="1"/>
    <col min="7948" max="7948" width="10.5" style="3" customWidth="1"/>
    <col min="7949" max="7949" width="11" style="3" customWidth="1"/>
    <col min="7950" max="7950" width="9" style="3"/>
    <col min="7951" max="7951" width="10.5" style="3" customWidth="1"/>
    <col min="7952" max="7952" width="9" style="3"/>
    <col min="7953" max="7953" width="19.125" style="3" customWidth="1"/>
    <col min="7954" max="7954" width="14" style="3" customWidth="1"/>
    <col min="7955" max="7955" width="16.75" style="3" customWidth="1"/>
    <col min="7956" max="8192" width="9" style="3"/>
    <col min="8193" max="8193" width="1.875" style="3" customWidth="1"/>
    <col min="8194" max="8194" width="10" style="3" customWidth="1"/>
    <col min="8195" max="8195" width="9.875" style="3" customWidth="1"/>
    <col min="8196" max="8196" width="10.875" style="3" customWidth="1"/>
    <col min="8197" max="8197" width="10.5" style="3" customWidth="1"/>
    <col min="8198" max="8198" width="11" style="3" customWidth="1"/>
    <col min="8199" max="8199" width="9.125" style="3" customWidth="1"/>
    <col min="8200" max="8200" width="10.375" style="3" customWidth="1"/>
    <col min="8201" max="8201" width="10" style="3" customWidth="1"/>
    <col min="8202" max="8202" width="9.875" style="3" customWidth="1"/>
    <col min="8203" max="8203" width="10.875" style="3" customWidth="1"/>
    <col min="8204" max="8204" width="10.5" style="3" customWidth="1"/>
    <col min="8205" max="8205" width="11" style="3" customWidth="1"/>
    <col min="8206" max="8206" width="9" style="3"/>
    <col min="8207" max="8207" width="10.5" style="3" customWidth="1"/>
    <col min="8208" max="8208" width="9" style="3"/>
    <col min="8209" max="8209" width="19.125" style="3" customWidth="1"/>
    <col min="8210" max="8210" width="14" style="3" customWidth="1"/>
    <col min="8211" max="8211" width="16.75" style="3" customWidth="1"/>
    <col min="8212" max="8448" width="9" style="3"/>
    <col min="8449" max="8449" width="1.875" style="3" customWidth="1"/>
    <col min="8450" max="8450" width="10" style="3" customWidth="1"/>
    <col min="8451" max="8451" width="9.875" style="3" customWidth="1"/>
    <col min="8452" max="8452" width="10.875" style="3" customWidth="1"/>
    <col min="8453" max="8453" width="10.5" style="3" customWidth="1"/>
    <col min="8454" max="8454" width="11" style="3" customWidth="1"/>
    <col min="8455" max="8455" width="9.125" style="3" customWidth="1"/>
    <col min="8456" max="8456" width="10.375" style="3" customWidth="1"/>
    <col min="8457" max="8457" width="10" style="3" customWidth="1"/>
    <col min="8458" max="8458" width="9.875" style="3" customWidth="1"/>
    <col min="8459" max="8459" width="10.875" style="3" customWidth="1"/>
    <col min="8460" max="8460" width="10.5" style="3" customWidth="1"/>
    <col min="8461" max="8461" width="11" style="3" customWidth="1"/>
    <col min="8462" max="8462" width="9" style="3"/>
    <col min="8463" max="8463" width="10.5" style="3" customWidth="1"/>
    <col min="8464" max="8464" width="9" style="3"/>
    <col min="8465" max="8465" width="19.125" style="3" customWidth="1"/>
    <col min="8466" max="8466" width="14" style="3" customWidth="1"/>
    <col min="8467" max="8467" width="16.75" style="3" customWidth="1"/>
    <col min="8468" max="8704" width="9" style="3"/>
    <col min="8705" max="8705" width="1.875" style="3" customWidth="1"/>
    <col min="8706" max="8706" width="10" style="3" customWidth="1"/>
    <col min="8707" max="8707" width="9.875" style="3" customWidth="1"/>
    <col min="8708" max="8708" width="10.875" style="3" customWidth="1"/>
    <col min="8709" max="8709" width="10.5" style="3" customWidth="1"/>
    <col min="8710" max="8710" width="11" style="3" customWidth="1"/>
    <col min="8711" max="8711" width="9.125" style="3" customWidth="1"/>
    <col min="8712" max="8712" width="10.375" style="3" customWidth="1"/>
    <col min="8713" max="8713" width="10" style="3" customWidth="1"/>
    <col min="8714" max="8714" width="9.875" style="3" customWidth="1"/>
    <col min="8715" max="8715" width="10.875" style="3" customWidth="1"/>
    <col min="8716" max="8716" width="10.5" style="3" customWidth="1"/>
    <col min="8717" max="8717" width="11" style="3" customWidth="1"/>
    <col min="8718" max="8718" width="9" style="3"/>
    <col min="8719" max="8719" width="10.5" style="3" customWidth="1"/>
    <col min="8720" max="8720" width="9" style="3"/>
    <col min="8721" max="8721" width="19.125" style="3" customWidth="1"/>
    <col min="8722" max="8722" width="14" style="3" customWidth="1"/>
    <col min="8723" max="8723" width="16.75" style="3" customWidth="1"/>
    <col min="8724" max="8960" width="9" style="3"/>
    <col min="8961" max="8961" width="1.875" style="3" customWidth="1"/>
    <col min="8962" max="8962" width="10" style="3" customWidth="1"/>
    <col min="8963" max="8963" width="9.875" style="3" customWidth="1"/>
    <col min="8964" max="8964" width="10.875" style="3" customWidth="1"/>
    <col min="8965" max="8965" width="10.5" style="3" customWidth="1"/>
    <col min="8966" max="8966" width="11" style="3" customWidth="1"/>
    <col min="8967" max="8967" width="9.125" style="3" customWidth="1"/>
    <col min="8968" max="8968" width="10.375" style="3" customWidth="1"/>
    <col min="8969" max="8969" width="10" style="3" customWidth="1"/>
    <col min="8970" max="8970" width="9.875" style="3" customWidth="1"/>
    <col min="8971" max="8971" width="10.875" style="3" customWidth="1"/>
    <col min="8972" max="8972" width="10.5" style="3" customWidth="1"/>
    <col min="8973" max="8973" width="11" style="3" customWidth="1"/>
    <col min="8974" max="8974" width="9" style="3"/>
    <col min="8975" max="8975" width="10.5" style="3" customWidth="1"/>
    <col min="8976" max="8976" width="9" style="3"/>
    <col min="8977" max="8977" width="19.125" style="3" customWidth="1"/>
    <col min="8978" max="8978" width="14" style="3" customWidth="1"/>
    <col min="8979" max="8979" width="16.75" style="3" customWidth="1"/>
    <col min="8980" max="9216" width="9" style="3"/>
    <col min="9217" max="9217" width="1.875" style="3" customWidth="1"/>
    <col min="9218" max="9218" width="10" style="3" customWidth="1"/>
    <col min="9219" max="9219" width="9.875" style="3" customWidth="1"/>
    <col min="9220" max="9220" width="10.875" style="3" customWidth="1"/>
    <col min="9221" max="9221" width="10.5" style="3" customWidth="1"/>
    <col min="9222" max="9222" width="11" style="3" customWidth="1"/>
    <col min="9223" max="9223" width="9.125" style="3" customWidth="1"/>
    <col min="9224" max="9224" width="10.375" style="3" customWidth="1"/>
    <col min="9225" max="9225" width="10" style="3" customWidth="1"/>
    <col min="9226" max="9226" width="9.875" style="3" customWidth="1"/>
    <col min="9227" max="9227" width="10.875" style="3" customWidth="1"/>
    <col min="9228" max="9228" width="10.5" style="3" customWidth="1"/>
    <col min="9229" max="9229" width="11" style="3" customWidth="1"/>
    <col min="9230" max="9230" width="9" style="3"/>
    <col min="9231" max="9231" width="10.5" style="3" customWidth="1"/>
    <col min="9232" max="9232" width="9" style="3"/>
    <col min="9233" max="9233" width="19.125" style="3" customWidth="1"/>
    <col min="9234" max="9234" width="14" style="3" customWidth="1"/>
    <col min="9235" max="9235" width="16.75" style="3" customWidth="1"/>
    <col min="9236" max="9472" width="9" style="3"/>
    <col min="9473" max="9473" width="1.875" style="3" customWidth="1"/>
    <col min="9474" max="9474" width="10" style="3" customWidth="1"/>
    <col min="9475" max="9475" width="9.875" style="3" customWidth="1"/>
    <col min="9476" max="9476" width="10.875" style="3" customWidth="1"/>
    <col min="9477" max="9477" width="10.5" style="3" customWidth="1"/>
    <col min="9478" max="9478" width="11" style="3" customWidth="1"/>
    <col min="9479" max="9479" width="9.125" style="3" customWidth="1"/>
    <col min="9480" max="9480" width="10.375" style="3" customWidth="1"/>
    <col min="9481" max="9481" width="10" style="3" customWidth="1"/>
    <col min="9482" max="9482" width="9.875" style="3" customWidth="1"/>
    <col min="9483" max="9483" width="10.875" style="3" customWidth="1"/>
    <col min="9484" max="9484" width="10.5" style="3" customWidth="1"/>
    <col min="9485" max="9485" width="11" style="3" customWidth="1"/>
    <col min="9486" max="9486" width="9" style="3"/>
    <col min="9487" max="9487" width="10.5" style="3" customWidth="1"/>
    <col min="9488" max="9488" width="9" style="3"/>
    <col min="9489" max="9489" width="19.125" style="3" customWidth="1"/>
    <col min="9490" max="9490" width="14" style="3" customWidth="1"/>
    <col min="9491" max="9491" width="16.75" style="3" customWidth="1"/>
    <col min="9492" max="9728" width="9" style="3"/>
    <col min="9729" max="9729" width="1.875" style="3" customWidth="1"/>
    <col min="9730" max="9730" width="10" style="3" customWidth="1"/>
    <col min="9731" max="9731" width="9.875" style="3" customWidth="1"/>
    <col min="9732" max="9732" width="10.875" style="3" customWidth="1"/>
    <col min="9733" max="9733" width="10.5" style="3" customWidth="1"/>
    <col min="9734" max="9734" width="11" style="3" customWidth="1"/>
    <col min="9735" max="9735" width="9.125" style="3" customWidth="1"/>
    <col min="9736" max="9736" width="10.375" style="3" customWidth="1"/>
    <col min="9737" max="9737" width="10" style="3" customWidth="1"/>
    <col min="9738" max="9738" width="9.875" style="3" customWidth="1"/>
    <col min="9739" max="9739" width="10.875" style="3" customWidth="1"/>
    <col min="9740" max="9740" width="10.5" style="3" customWidth="1"/>
    <col min="9741" max="9741" width="11" style="3" customWidth="1"/>
    <col min="9742" max="9742" width="9" style="3"/>
    <col min="9743" max="9743" width="10.5" style="3" customWidth="1"/>
    <col min="9744" max="9744" width="9" style="3"/>
    <col min="9745" max="9745" width="19.125" style="3" customWidth="1"/>
    <col min="9746" max="9746" width="14" style="3" customWidth="1"/>
    <col min="9747" max="9747" width="16.75" style="3" customWidth="1"/>
    <col min="9748" max="9984" width="9" style="3"/>
    <col min="9985" max="9985" width="1.875" style="3" customWidth="1"/>
    <col min="9986" max="9986" width="10" style="3" customWidth="1"/>
    <col min="9987" max="9987" width="9.875" style="3" customWidth="1"/>
    <col min="9988" max="9988" width="10.875" style="3" customWidth="1"/>
    <col min="9989" max="9989" width="10.5" style="3" customWidth="1"/>
    <col min="9990" max="9990" width="11" style="3" customWidth="1"/>
    <col min="9991" max="9991" width="9.125" style="3" customWidth="1"/>
    <col min="9992" max="9992" width="10.375" style="3" customWidth="1"/>
    <col min="9993" max="9993" width="10" style="3" customWidth="1"/>
    <col min="9994" max="9994" width="9.875" style="3" customWidth="1"/>
    <col min="9995" max="9995" width="10.875" style="3" customWidth="1"/>
    <col min="9996" max="9996" width="10.5" style="3" customWidth="1"/>
    <col min="9997" max="9997" width="11" style="3" customWidth="1"/>
    <col min="9998" max="9998" width="9" style="3"/>
    <col min="9999" max="9999" width="10.5" style="3" customWidth="1"/>
    <col min="10000" max="10000" width="9" style="3"/>
    <col min="10001" max="10001" width="19.125" style="3" customWidth="1"/>
    <col min="10002" max="10002" width="14" style="3" customWidth="1"/>
    <col min="10003" max="10003" width="16.75" style="3" customWidth="1"/>
    <col min="10004" max="10240" width="9" style="3"/>
    <col min="10241" max="10241" width="1.875" style="3" customWidth="1"/>
    <col min="10242" max="10242" width="10" style="3" customWidth="1"/>
    <col min="10243" max="10243" width="9.875" style="3" customWidth="1"/>
    <col min="10244" max="10244" width="10.875" style="3" customWidth="1"/>
    <col min="10245" max="10245" width="10.5" style="3" customWidth="1"/>
    <col min="10246" max="10246" width="11" style="3" customWidth="1"/>
    <col min="10247" max="10247" width="9.125" style="3" customWidth="1"/>
    <col min="10248" max="10248" width="10.375" style="3" customWidth="1"/>
    <col min="10249" max="10249" width="10" style="3" customWidth="1"/>
    <col min="10250" max="10250" width="9.875" style="3" customWidth="1"/>
    <col min="10251" max="10251" width="10.875" style="3" customWidth="1"/>
    <col min="10252" max="10252" width="10.5" style="3" customWidth="1"/>
    <col min="10253" max="10253" width="11" style="3" customWidth="1"/>
    <col min="10254" max="10254" width="9" style="3"/>
    <col min="10255" max="10255" width="10.5" style="3" customWidth="1"/>
    <col min="10256" max="10256" width="9" style="3"/>
    <col min="10257" max="10257" width="19.125" style="3" customWidth="1"/>
    <col min="10258" max="10258" width="14" style="3" customWidth="1"/>
    <col min="10259" max="10259" width="16.75" style="3" customWidth="1"/>
    <col min="10260" max="10496" width="9" style="3"/>
    <col min="10497" max="10497" width="1.875" style="3" customWidth="1"/>
    <col min="10498" max="10498" width="10" style="3" customWidth="1"/>
    <col min="10499" max="10499" width="9.875" style="3" customWidth="1"/>
    <col min="10500" max="10500" width="10.875" style="3" customWidth="1"/>
    <col min="10501" max="10501" width="10.5" style="3" customWidth="1"/>
    <col min="10502" max="10502" width="11" style="3" customWidth="1"/>
    <col min="10503" max="10503" width="9.125" style="3" customWidth="1"/>
    <col min="10504" max="10504" width="10.375" style="3" customWidth="1"/>
    <col min="10505" max="10505" width="10" style="3" customWidth="1"/>
    <col min="10506" max="10506" width="9.875" style="3" customWidth="1"/>
    <col min="10507" max="10507" width="10.875" style="3" customWidth="1"/>
    <col min="10508" max="10508" width="10.5" style="3" customWidth="1"/>
    <col min="10509" max="10509" width="11" style="3" customWidth="1"/>
    <col min="10510" max="10510" width="9" style="3"/>
    <col min="10511" max="10511" width="10.5" style="3" customWidth="1"/>
    <col min="10512" max="10512" width="9" style="3"/>
    <col min="10513" max="10513" width="19.125" style="3" customWidth="1"/>
    <col min="10514" max="10514" width="14" style="3" customWidth="1"/>
    <col min="10515" max="10515" width="16.75" style="3" customWidth="1"/>
    <col min="10516" max="10752" width="9" style="3"/>
    <col min="10753" max="10753" width="1.875" style="3" customWidth="1"/>
    <col min="10754" max="10754" width="10" style="3" customWidth="1"/>
    <col min="10755" max="10755" width="9.875" style="3" customWidth="1"/>
    <col min="10756" max="10756" width="10.875" style="3" customWidth="1"/>
    <col min="10757" max="10757" width="10.5" style="3" customWidth="1"/>
    <col min="10758" max="10758" width="11" style="3" customWidth="1"/>
    <col min="10759" max="10759" width="9.125" style="3" customWidth="1"/>
    <col min="10760" max="10760" width="10.375" style="3" customWidth="1"/>
    <col min="10761" max="10761" width="10" style="3" customWidth="1"/>
    <col min="10762" max="10762" width="9.875" style="3" customWidth="1"/>
    <col min="10763" max="10763" width="10.875" style="3" customWidth="1"/>
    <col min="10764" max="10764" width="10.5" style="3" customWidth="1"/>
    <col min="10765" max="10765" width="11" style="3" customWidth="1"/>
    <col min="10766" max="10766" width="9" style="3"/>
    <col min="10767" max="10767" width="10.5" style="3" customWidth="1"/>
    <col min="10768" max="10768" width="9" style="3"/>
    <col min="10769" max="10769" width="19.125" style="3" customWidth="1"/>
    <col min="10770" max="10770" width="14" style="3" customWidth="1"/>
    <col min="10771" max="10771" width="16.75" style="3" customWidth="1"/>
    <col min="10772" max="11008" width="9" style="3"/>
    <col min="11009" max="11009" width="1.875" style="3" customWidth="1"/>
    <col min="11010" max="11010" width="10" style="3" customWidth="1"/>
    <col min="11011" max="11011" width="9.875" style="3" customWidth="1"/>
    <col min="11012" max="11012" width="10.875" style="3" customWidth="1"/>
    <col min="11013" max="11013" width="10.5" style="3" customWidth="1"/>
    <col min="11014" max="11014" width="11" style="3" customWidth="1"/>
    <col min="11015" max="11015" width="9.125" style="3" customWidth="1"/>
    <col min="11016" max="11016" width="10.375" style="3" customWidth="1"/>
    <col min="11017" max="11017" width="10" style="3" customWidth="1"/>
    <col min="11018" max="11018" width="9.875" style="3" customWidth="1"/>
    <col min="11019" max="11019" width="10.875" style="3" customWidth="1"/>
    <col min="11020" max="11020" width="10.5" style="3" customWidth="1"/>
    <col min="11021" max="11021" width="11" style="3" customWidth="1"/>
    <col min="11022" max="11022" width="9" style="3"/>
    <col min="11023" max="11023" width="10.5" style="3" customWidth="1"/>
    <col min="11024" max="11024" width="9" style="3"/>
    <col min="11025" max="11025" width="19.125" style="3" customWidth="1"/>
    <col min="11026" max="11026" width="14" style="3" customWidth="1"/>
    <col min="11027" max="11027" width="16.75" style="3" customWidth="1"/>
    <col min="11028" max="11264" width="9" style="3"/>
    <col min="11265" max="11265" width="1.875" style="3" customWidth="1"/>
    <col min="11266" max="11266" width="10" style="3" customWidth="1"/>
    <col min="11267" max="11267" width="9.875" style="3" customWidth="1"/>
    <col min="11268" max="11268" width="10.875" style="3" customWidth="1"/>
    <col min="11269" max="11269" width="10.5" style="3" customWidth="1"/>
    <col min="11270" max="11270" width="11" style="3" customWidth="1"/>
    <col min="11271" max="11271" width="9.125" style="3" customWidth="1"/>
    <col min="11272" max="11272" width="10.375" style="3" customWidth="1"/>
    <col min="11273" max="11273" width="10" style="3" customWidth="1"/>
    <col min="11274" max="11274" width="9.875" style="3" customWidth="1"/>
    <col min="11275" max="11275" width="10.875" style="3" customWidth="1"/>
    <col min="11276" max="11276" width="10.5" style="3" customWidth="1"/>
    <col min="11277" max="11277" width="11" style="3" customWidth="1"/>
    <col min="11278" max="11278" width="9" style="3"/>
    <col min="11279" max="11279" width="10.5" style="3" customWidth="1"/>
    <col min="11280" max="11280" width="9" style="3"/>
    <col min="11281" max="11281" width="19.125" style="3" customWidth="1"/>
    <col min="11282" max="11282" width="14" style="3" customWidth="1"/>
    <col min="11283" max="11283" width="16.75" style="3" customWidth="1"/>
    <col min="11284" max="11520" width="9" style="3"/>
    <col min="11521" max="11521" width="1.875" style="3" customWidth="1"/>
    <col min="11522" max="11522" width="10" style="3" customWidth="1"/>
    <col min="11523" max="11523" width="9.875" style="3" customWidth="1"/>
    <col min="11524" max="11524" width="10.875" style="3" customWidth="1"/>
    <col min="11525" max="11525" width="10.5" style="3" customWidth="1"/>
    <col min="11526" max="11526" width="11" style="3" customWidth="1"/>
    <col min="11527" max="11527" width="9.125" style="3" customWidth="1"/>
    <col min="11528" max="11528" width="10.375" style="3" customWidth="1"/>
    <col min="11529" max="11529" width="10" style="3" customWidth="1"/>
    <col min="11530" max="11530" width="9.875" style="3" customWidth="1"/>
    <col min="11531" max="11531" width="10.875" style="3" customWidth="1"/>
    <col min="11532" max="11532" width="10.5" style="3" customWidth="1"/>
    <col min="11533" max="11533" width="11" style="3" customWidth="1"/>
    <col min="11534" max="11534" width="9" style="3"/>
    <col min="11535" max="11535" width="10.5" style="3" customWidth="1"/>
    <col min="11536" max="11536" width="9" style="3"/>
    <col min="11537" max="11537" width="19.125" style="3" customWidth="1"/>
    <col min="11538" max="11538" width="14" style="3" customWidth="1"/>
    <col min="11539" max="11539" width="16.75" style="3" customWidth="1"/>
    <col min="11540" max="11776" width="9" style="3"/>
    <col min="11777" max="11777" width="1.875" style="3" customWidth="1"/>
    <col min="11778" max="11778" width="10" style="3" customWidth="1"/>
    <col min="11779" max="11779" width="9.875" style="3" customWidth="1"/>
    <col min="11780" max="11780" width="10.875" style="3" customWidth="1"/>
    <col min="11781" max="11781" width="10.5" style="3" customWidth="1"/>
    <col min="11782" max="11782" width="11" style="3" customWidth="1"/>
    <col min="11783" max="11783" width="9.125" style="3" customWidth="1"/>
    <col min="11784" max="11784" width="10.375" style="3" customWidth="1"/>
    <col min="11785" max="11785" width="10" style="3" customWidth="1"/>
    <col min="11786" max="11786" width="9.875" style="3" customWidth="1"/>
    <col min="11787" max="11787" width="10.875" style="3" customWidth="1"/>
    <col min="11788" max="11788" width="10.5" style="3" customWidth="1"/>
    <col min="11789" max="11789" width="11" style="3" customWidth="1"/>
    <col min="11790" max="11790" width="9" style="3"/>
    <col min="11791" max="11791" width="10.5" style="3" customWidth="1"/>
    <col min="11792" max="11792" width="9" style="3"/>
    <col min="11793" max="11793" width="19.125" style="3" customWidth="1"/>
    <col min="11794" max="11794" width="14" style="3" customWidth="1"/>
    <col min="11795" max="11795" width="16.75" style="3" customWidth="1"/>
    <col min="11796" max="12032" width="9" style="3"/>
    <col min="12033" max="12033" width="1.875" style="3" customWidth="1"/>
    <col min="12034" max="12034" width="10" style="3" customWidth="1"/>
    <col min="12035" max="12035" width="9.875" style="3" customWidth="1"/>
    <col min="12036" max="12036" width="10.875" style="3" customWidth="1"/>
    <col min="12037" max="12037" width="10.5" style="3" customWidth="1"/>
    <col min="12038" max="12038" width="11" style="3" customWidth="1"/>
    <col min="12039" max="12039" width="9.125" style="3" customWidth="1"/>
    <col min="12040" max="12040" width="10.375" style="3" customWidth="1"/>
    <col min="12041" max="12041" width="10" style="3" customWidth="1"/>
    <col min="12042" max="12042" width="9.875" style="3" customWidth="1"/>
    <col min="12043" max="12043" width="10.875" style="3" customWidth="1"/>
    <col min="12044" max="12044" width="10.5" style="3" customWidth="1"/>
    <col min="12045" max="12045" width="11" style="3" customWidth="1"/>
    <col min="12046" max="12046" width="9" style="3"/>
    <col min="12047" max="12047" width="10.5" style="3" customWidth="1"/>
    <col min="12048" max="12048" width="9" style="3"/>
    <col min="12049" max="12049" width="19.125" style="3" customWidth="1"/>
    <col min="12050" max="12050" width="14" style="3" customWidth="1"/>
    <col min="12051" max="12051" width="16.75" style="3" customWidth="1"/>
    <col min="12052" max="12288" width="9" style="3"/>
    <col min="12289" max="12289" width="1.875" style="3" customWidth="1"/>
    <col min="12290" max="12290" width="10" style="3" customWidth="1"/>
    <col min="12291" max="12291" width="9.875" style="3" customWidth="1"/>
    <col min="12292" max="12292" width="10.875" style="3" customWidth="1"/>
    <col min="12293" max="12293" width="10.5" style="3" customWidth="1"/>
    <col min="12294" max="12294" width="11" style="3" customWidth="1"/>
    <col min="12295" max="12295" width="9.125" style="3" customWidth="1"/>
    <col min="12296" max="12296" width="10.375" style="3" customWidth="1"/>
    <col min="12297" max="12297" width="10" style="3" customWidth="1"/>
    <col min="12298" max="12298" width="9.875" style="3" customWidth="1"/>
    <col min="12299" max="12299" width="10.875" style="3" customWidth="1"/>
    <col min="12300" max="12300" width="10.5" style="3" customWidth="1"/>
    <col min="12301" max="12301" width="11" style="3" customWidth="1"/>
    <col min="12302" max="12302" width="9" style="3"/>
    <col min="12303" max="12303" width="10.5" style="3" customWidth="1"/>
    <col min="12304" max="12304" width="9" style="3"/>
    <col min="12305" max="12305" width="19.125" style="3" customWidth="1"/>
    <col min="12306" max="12306" width="14" style="3" customWidth="1"/>
    <col min="12307" max="12307" width="16.75" style="3" customWidth="1"/>
    <col min="12308" max="12544" width="9" style="3"/>
    <col min="12545" max="12545" width="1.875" style="3" customWidth="1"/>
    <col min="12546" max="12546" width="10" style="3" customWidth="1"/>
    <col min="12547" max="12547" width="9.875" style="3" customWidth="1"/>
    <col min="12548" max="12548" width="10.875" style="3" customWidth="1"/>
    <col min="12549" max="12549" width="10.5" style="3" customWidth="1"/>
    <col min="12550" max="12550" width="11" style="3" customWidth="1"/>
    <col min="12551" max="12551" width="9.125" style="3" customWidth="1"/>
    <col min="12552" max="12552" width="10.375" style="3" customWidth="1"/>
    <col min="12553" max="12553" width="10" style="3" customWidth="1"/>
    <col min="12554" max="12554" width="9.875" style="3" customWidth="1"/>
    <col min="12555" max="12555" width="10.875" style="3" customWidth="1"/>
    <col min="12556" max="12556" width="10.5" style="3" customWidth="1"/>
    <col min="12557" max="12557" width="11" style="3" customWidth="1"/>
    <col min="12558" max="12558" width="9" style="3"/>
    <col min="12559" max="12559" width="10.5" style="3" customWidth="1"/>
    <col min="12560" max="12560" width="9" style="3"/>
    <col min="12561" max="12561" width="19.125" style="3" customWidth="1"/>
    <col min="12562" max="12562" width="14" style="3" customWidth="1"/>
    <col min="12563" max="12563" width="16.75" style="3" customWidth="1"/>
    <col min="12564" max="12800" width="9" style="3"/>
    <col min="12801" max="12801" width="1.875" style="3" customWidth="1"/>
    <col min="12802" max="12802" width="10" style="3" customWidth="1"/>
    <col min="12803" max="12803" width="9.875" style="3" customWidth="1"/>
    <col min="12804" max="12804" width="10.875" style="3" customWidth="1"/>
    <col min="12805" max="12805" width="10.5" style="3" customWidth="1"/>
    <col min="12806" max="12806" width="11" style="3" customWidth="1"/>
    <col min="12807" max="12807" width="9.125" style="3" customWidth="1"/>
    <col min="12808" max="12808" width="10.375" style="3" customWidth="1"/>
    <col min="12809" max="12809" width="10" style="3" customWidth="1"/>
    <col min="12810" max="12810" width="9.875" style="3" customWidth="1"/>
    <col min="12811" max="12811" width="10.875" style="3" customWidth="1"/>
    <col min="12812" max="12812" width="10.5" style="3" customWidth="1"/>
    <col min="12813" max="12813" width="11" style="3" customWidth="1"/>
    <col min="12814" max="12814" width="9" style="3"/>
    <col min="12815" max="12815" width="10.5" style="3" customWidth="1"/>
    <col min="12816" max="12816" width="9" style="3"/>
    <col min="12817" max="12817" width="19.125" style="3" customWidth="1"/>
    <col min="12818" max="12818" width="14" style="3" customWidth="1"/>
    <col min="12819" max="12819" width="16.75" style="3" customWidth="1"/>
    <col min="12820" max="13056" width="9" style="3"/>
    <col min="13057" max="13057" width="1.875" style="3" customWidth="1"/>
    <col min="13058" max="13058" width="10" style="3" customWidth="1"/>
    <col min="13059" max="13059" width="9.875" style="3" customWidth="1"/>
    <col min="13060" max="13060" width="10.875" style="3" customWidth="1"/>
    <col min="13061" max="13061" width="10.5" style="3" customWidth="1"/>
    <col min="13062" max="13062" width="11" style="3" customWidth="1"/>
    <col min="13063" max="13063" width="9.125" style="3" customWidth="1"/>
    <col min="13064" max="13064" width="10.375" style="3" customWidth="1"/>
    <col min="13065" max="13065" width="10" style="3" customWidth="1"/>
    <col min="13066" max="13066" width="9.875" style="3" customWidth="1"/>
    <col min="13067" max="13067" width="10.875" style="3" customWidth="1"/>
    <col min="13068" max="13068" width="10.5" style="3" customWidth="1"/>
    <col min="13069" max="13069" width="11" style="3" customWidth="1"/>
    <col min="13070" max="13070" width="9" style="3"/>
    <col min="13071" max="13071" width="10.5" style="3" customWidth="1"/>
    <col min="13072" max="13072" width="9" style="3"/>
    <col min="13073" max="13073" width="19.125" style="3" customWidth="1"/>
    <col min="13074" max="13074" width="14" style="3" customWidth="1"/>
    <col min="13075" max="13075" width="16.75" style="3" customWidth="1"/>
    <col min="13076" max="13312" width="9" style="3"/>
    <col min="13313" max="13313" width="1.875" style="3" customWidth="1"/>
    <col min="13314" max="13314" width="10" style="3" customWidth="1"/>
    <col min="13315" max="13315" width="9.875" style="3" customWidth="1"/>
    <col min="13316" max="13316" width="10.875" style="3" customWidth="1"/>
    <col min="13317" max="13317" width="10.5" style="3" customWidth="1"/>
    <col min="13318" max="13318" width="11" style="3" customWidth="1"/>
    <col min="13319" max="13319" width="9.125" style="3" customWidth="1"/>
    <col min="13320" max="13320" width="10.375" style="3" customWidth="1"/>
    <col min="13321" max="13321" width="10" style="3" customWidth="1"/>
    <col min="13322" max="13322" width="9.875" style="3" customWidth="1"/>
    <col min="13323" max="13323" width="10.875" style="3" customWidth="1"/>
    <col min="13324" max="13324" width="10.5" style="3" customWidth="1"/>
    <col min="13325" max="13325" width="11" style="3" customWidth="1"/>
    <col min="13326" max="13326" width="9" style="3"/>
    <col min="13327" max="13327" width="10.5" style="3" customWidth="1"/>
    <col min="13328" max="13328" width="9" style="3"/>
    <col min="13329" max="13329" width="19.125" style="3" customWidth="1"/>
    <col min="13330" max="13330" width="14" style="3" customWidth="1"/>
    <col min="13331" max="13331" width="16.75" style="3" customWidth="1"/>
    <col min="13332" max="13568" width="9" style="3"/>
    <col min="13569" max="13569" width="1.875" style="3" customWidth="1"/>
    <col min="13570" max="13570" width="10" style="3" customWidth="1"/>
    <col min="13571" max="13571" width="9.875" style="3" customWidth="1"/>
    <col min="13572" max="13572" width="10.875" style="3" customWidth="1"/>
    <col min="13573" max="13573" width="10.5" style="3" customWidth="1"/>
    <col min="13574" max="13574" width="11" style="3" customWidth="1"/>
    <col min="13575" max="13575" width="9.125" style="3" customWidth="1"/>
    <col min="13576" max="13576" width="10.375" style="3" customWidth="1"/>
    <col min="13577" max="13577" width="10" style="3" customWidth="1"/>
    <col min="13578" max="13578" width="9.875" style="3" customWidth="1"/>
    <col min="13579" max="13579" width="10.875" style="3" customWidth="1"/>
    <col min="13580" max="13580" width="10.5" style="3" customWidth="1"/>
    <col min="13581" max="13581" width="11" style="3" customWidth="1"/>
    <col min="13582" max="13582" width="9" style="3"/>
    <col min="13583" max="13583" width="10.5" style="3" customWidth="1"/>
    <col min="13584" max="13584" width="9" style="3"/>
    <col min="13585" max="13585" width="19.125" style="3" customWidth="1"/>
    <col min="13586" max="13586" width="14" style="3" customWidth="1"/>
    <col min="13587" max="13587" width="16.75" style="3" customWidth="1"/>
    <col min="13588" max="13824" width="9" style="3"/>
    <col min="13825" max="13825" width="1.875" style="3" customWidth="1"/>
    <col min="13826" max="13826" width="10" style="3" customWidth="1"/>
    <col min="13827" max="13827" width="9.875" style="3" customWidth="1"/>
    <col min="13828" max="13828" width="10.875" style="3" customWidth="1"/>
    <col min="13829" max="13829" width="10.5" style="3" customWidth="1"/>
    <col min="13830" max="13830" width="11" style="3" customWidth="1"/>
    <col min="13831" max="13831" width="9.125" style="3" customWidth="1"/>
    <col min="13832" max="13832" width="10.375" style="3" customWidth="1"/>
    <col min="13833" max="13833" width="10" style="3" customWidth="1"/>
    <col min="13834" max="13834" width="9.875" style="3" customWidth="1"/>
    <col min="13835" max="13835" width="10.875" style="3" customWidth="1"/>
    <col min="13836" max="13836" width="10.5" style="3" customWidth="1"/>
    <col min="13837" max="13837" width="11" style="3" customWidth="1"/>
    <col min="13838" max="13838" width="9" style="3"/>
    <col min="13839" max="13839" width="10.5" style="3" customWidth="1"/>
    <col min="13840" max="13840" width="9" style="3"/>
    <col min="13841" max="13841" width="19.125" style="3" customWidth="1"/>
    <col min="13842" max="13842" width="14" style="3" customWidth="1"/>
    <col min="13843" max="13843" width="16.75" style="3" customWidth="1"/>
    <col min="13844" max="14080" width="9" style="3"/>
    <col min="14081" max="14081" width="1.875" style="3" customWidth="1"/>
    <col min="14082" max="14082" width="10" style="3" customWidth="1"/>
    <col min="14083" max="14083" width="9.875" style="3" customWidth="1"/>
    <col min="14084" max="14084" width="10.875" style="3" customWidth="1"/>
    <col min="14085" max="14085" width="10.5" style="3" customWidth="1"/>
    <col min="14086" max="14086" width="11" style="3" customWidth="1"/>
    <col min="14087" max="14087" width="9.125" style="3" customWidth="1"/>
    <col min="14088" max="14088" width="10.375" style="3" customWidth="1"/>
    <col min="14089" max="14089" width="10" style="3" customWidth="1"/>
    <col min="14090" max="14090" width="9.875" style="3" customWidth="1"/>
    <col min="14091" max="14091" width="10.875" style="3" customWidth="1"/>
    <col min="14092" max="14092" width="10.5" style="3" customWidth="1"/>
    <col min="14093" max="14093" width="11" style="3" customWidth="1"/>
    <col min="14094" max="14094" width="9" style="3"/>
    <col min="14095" max="14095" width="10.5" style="3" customWidth="1"/>
    <col min="14096" max="14096" width="9" style="3"/>
    <col min="14097" max="14097" width="19.125" style="3" customWidth="1"/>
    <col min="14098" max="14098" width="14" style="3" customWidth="1"/>
    <col min="14099" max="14099" width="16.75" style="3" customWidth="1"/>
    <col min="14100" max="14336" width="9" style="3"/>
    <col min="14337" max="14337" width="1.875" style="3" customWidth="1"/>
    <col min="14338" max="14338" width="10" style="3" customWidth="1"/>
    <col min="14339" max="14339" width="9.875" style="3" customWidth="1"/>
    <col min="14340" max="14340" width="10.875" style="3" customWidth="1"/>
    <col min="14341" max="14341" width="10.5" style="3" customWidth="1"/>
    <col min="14342" max="14342" width="11" style="3" customWidth="1"/>
    <col min="14343" max="14343" width="9.125" style="3" customWidth="1"/>
    <col min="14344" max="14344" width="10.375" style="3" customWidth="1"/>
    <col min="14345" max="14345" width="10" style="3" customWidth="1"/>
    <col min="14346" max="14346" width="9.875" style="3" customWidth="1"/>
    <col min="14347" max="14347" width="10.875" style="3" customWidth="1"/>
    <col min="14348" max="14348" width="10.5" style="3" customWidth="1"/>
    <col min="14349" max="14349" width="11" style="3" customWidth="1"/>
    <col min="14350" max="14350" width="9" style="3"/>
    <col min="14351" max="14351" width="10.5" style="3" customWidth="1"/>
    <col min="14352" max="14352" width="9" style="3"/>
    <col min="14353" max="14353" width="19.125" style="3" customWidth="1"/>
    <col min="14354" max="14354" width="14" style="3" customWidth="1"/>
    <col min="14355" max="14355" width="16.75" style="3" customWidth="1"/>
    <col min="14356" max="14592" width="9" style="3"/>
    <col min="14593" max="14593" width="1.875" style="3" customWidth="1"/>
    <col min="14594" max="14594" width="10" style="3" customWidth="1"/>
    <col min="14595" max="14595" width="9.875" style="3" customWidth="1"/>
    <col min="14596" max="14596" width="10.875" style="3" customWidth="1"/>
    <col min="14597" max="14597" width="10.5" style="3" customWidth="1"/>
    <col min="14598" max="14598" width="11" style="3" customWidth="1"/>
    <col min="14599" max="14599" width="9.125" style="3" customWidth="1"/>
    <col min="14600" max="14600" width="10.375" style="3" customWidth="1"/>
    <col min="14601" max="14601" width="10" style="3" customWidth="1"/>
    <col min="14602" max="14602" width="9.875" style="3" customWidth="1"/>
    <col min="14603" max="14603" width="10.875" style="3" customWidth="1"/>
    <col min="14604" max="14604" width="10.5" style="3" customWidth="1"/>
    <col min="14605" max="14605" width="11" style="3" customWidth="1"/>
    <col min="14606" max="14606" width="9" style="3"/>
    <col min="14607" max="14607" width="10.5" style="3" customWidth="1"/>
    <col min="14608" max="14608" width="9" style="3"/>
    <col min="14609" max="14609" width="19.125" style="3" customWidth="1"/>
    <col min="14610" max="14610" width="14" style="3" customWidth="1"/>
    <col min="14611" max="14611" width="16.75" style="3" customWidth="1"/>
    <col min="14612" max="14848" width="9" style="3"/>
    <col min="14849" max="14849" width="1.875" style="3" customWidth="1"/>
    <col min="14850" max="14850" width="10" style="3" customWidth="1"/>
    <col min="14851" max="14851" width="9.875" style="3" customWidth="1"/>
    <col min="14852" max="14852" width="10.875" style="3" customWidth="1"/>
    <col min="14853" max="14853" width="10.5" style="3" customWidth="1"/>
    <col min="14854" max="14854" width="11" style="3" customWidth="1"/>
    <col min="14855" max="14855" width="9.125" style="3" customWidth="1"/>
    <col min="14856" max="14856" width="10.375" style="3" customWidth="1"/>
    <col min="14857" max="14857" width="10" style="3" customWidth="1"/>
    <col min="14858" max="14858" width="9.875" style="3" customWidth="1"/>
    <col min="14859" max="14859" width="10.875" style="3" customWidth="1"/>
    <col min="14860" max="14860" width="10.5" style="3" customWidth="1"/>
    <col min="14861" max="14861" width="11" style="3" customWidth="1"/>
    <col min="14862" max="14862" width="9" style="3"/>
    <col min="14863" max="14863" width="10.5" style="3" customWidth="1"/>
    <col min="14864" max="14864" width="9" style="3"/>
    <col min="14865" max="14865" width="19.125" style="3" customWidth="1"/>
    <col min="14866" max="14866" width="14" style="3" customWidth="1"/>
    <col min="14867" max="14867" width="16.75" style="3" customWidth="1"/>
    <col min="14868" max="15104" width="9" style="3"/>
    <col min="15105" max="15105" width="1.875" style="3" customWidth="1"/>
    <col min="15106" max="15106" width="10" style="3" customWidth="1"/>
    <col min="15107" max="15107" width="9.875" style="3" customWidth="1"/>
    <col min="15108" max="15108" width="10.875" style="3" customWidth="1"/>
    <col min="15109" max="15109" width="10.5" style="3" customWidth="1"/>
    <col min="15110" max="15110" width="11" style="3" customWidth="1"/>
    <col min="15111" max="15111" width="9.125" style="3" customWidth="1"/>
    <col min="15112" max="15112" width="10.375" style="3" customWidth="1"/>
    <col min="15113" max="15113" width="10" style="3" customWidth="1"/>
    <col min="15114" max="15114" width="9.875" style="3" customWidth="1"/>
    <col min="15115" max="15115" width="10.875" style="3" customWidth="1"/>
    <col min="15116" max="15116" width="10.5" style="3" customWidth="1"/>
    <col min="15117" max="15117" width="11" style="3" customWidth="1"/>
    <col min="15118" max="15118" width="9" style="3"/>
    <col min="15119" max="15119" width="10.5" style="3" customWidth="1"/>
    <col min="15120" max="15120" width="9" style="3"/>
    <col min="15121" max="15121" width="19.125" style="3" customWidth="1"/>
    <col min="15122" max="15122" width="14" style="3" customWidth="1"/>
    <col min="15123" max="15123" width="16.75" style="3" customWidth="1"/>
    <col min="15124" max="15360" width="9" style="3"/>
    <col min="15361" max="15361" width="1.875" style="3" customWidth="1"/>
    <col min="15362" max="15362" width="10" style="3" customWidth="1"/>
    <col min="15363" max="15363" width="9.875" style="3" customWidth="1"/>
    <col min="15364" max="15364" width="10.875" style="3" customWidth="1"/>
    <col min="15365" max="15365" width="10.5" style="3" customWidth="1"/>
    <col min="15366" max="15366" width="11" style="3" customWidth="1"/>
    <col min="15367" max="15367" width="9.125" style="3" customWidth="1"/>
    <col min="15368" max="15368" width="10.375" style="3" customWidth="1"/>
    <col min="15369" max="15369" width="10" style="3" customWidth="1"/>
    <col min="15370" max="15370" width="9.875" style="3" customWidth="1"/>
    <col min="15371" max="15371" width="10.875" style="3" customWidth="1"/>
    <col min="15372" max="15372" width="10.5" style="3" customWidth="1"/>
    <col min="15373" max="15373" width="11" style="3" customWidth="1"/>
    <col min="15374" max="15374" width="9" style="3"/>
    <col min="15375" max="15375" width="10.5" style="3" customWidth="1"/>
    <col min="15376" max="15376" width="9" style="3"/>
    <col min="15377" max="15377" width="19.125" style="3" customWidth="1"/>
    <col min="15378" max="15378" width="14" style="3" customWidth="1"/>
    <col min="15379" max="15379" width="16.75" style="3" customWidth="1"/>
    <col min="15380" max="15616" width="9" style="3"/>
    <col min="15617" max="15617" width="1.875" style="3" customWidth="1"/>
    <col min="15618" max="15618" width="10" style="3" customWidth="1"/>
    <col min="15619" max="15619" width="9.875" style="3" customWidth="1"/>
    <col min="15620" max="15620" width="10.875" style="3" customWidth="1"/>
    <col min="15621" max="15621" width="10.5" style="3" customWidth="1"/>
    <col min="15622" max="15622" width="11" style="3" customWidth="1"/>
    <col min="15623" max="15623" width="9.125" style="3" customWidth="1"/>
    <col min="15624" max="15624" width="10.375" style="3" customWidth="1"/>
    <col min="15625" max="15625" width="10" style="3" customWidth="1"/>
    <col min="15626" max="15626" width="9.875" style="3" customWidth="1"/>
    <col min="15627" max="15627" width="10.875" style="3" customWidth="1"/>
    <col min="15628" max="15628" width="10.5" style="3" customWidth="1"/>
    <col min="15629" max="15629" width="11" style="3" customWidth="1"/>
    <col min="15630" max="15630" width="9" style="3"/>
    <col min="15631" max="15631" width="10.5" style="3" customWidth="1"/>
    <col min="15632" max="15632" width="9" style="3"/>
    <col min="15633" max="15633" width="19.125" style="3" customWidth="1"/>
    <col min="15634" max="15634" width="14" style="3" customWidth="1"/>
    <col min="15635" max="15635" width="16.75" style="3" customWidth="1"/>
    <col min="15636" max="15872" width="9" style="3"/>
    <col min="15873" max="15873" width="1.875" style="3" customWidth="1"/>
    <col min="15874" max="15874" width="10" style="3" customWidth="1"/>
    <col min="15875" max="15875" width="9.875" style="3" customWidth="1"/>
    <col min="15876" max="15876" width="10.875" style="3" customWidth="1"/>
    <col min="15877" max="15877" width="10.5" style="3" customWidth="1"/>
    <col min="15878" max="15878" width="11" style="3" customWidth="1"/>
    <col min="15879" max="15879" width="9.125" style="3" customWidth="1"/>
    <col min="15880" max="15880" width="10.375" style="3" customWidth="1"/>
    <col min="15881" max="15881" width="10" style="3" customWidth="1"/>
    <col min="15882" max="15882" width="9.875" style="3" customWidth="1"/>
    <col min="15883" max="15883" width="10.875" style="3" customWidth="1"/>
    <col min="15884" max="15884" width="10.5" style="3" customWidth="1"/>
    <col min="15885" max="15885" width="11" style="3" customWidth="1"/>
    <col min="15886" max="15886" width="9" style="3"/>
    <col min="15887" max="15887" width="10.5" style="3" customWidth="1"/>
    <col min="15888" max="15888" width="9" style="3"/>
    <col min="15889" max="15889" width="19.125" style="3" customWidth="1"/>
    <col min="15890" max="15890" width="14" style="3" customWidth="1"/>
    <col min="15891" max="15891" width="16.75" style="3" customWidth="1"/>
    <col min="15892" max="16128" width="9" style="3"/>
    <col min="16129" max="16129" width="1.875" style="3" customWidth="1"/>
    <col min="16130" max="16130" width="10" style="3" customWidth="1"/>
    <col min="16131" max="16131" width="9.875" style="3" customWidth="1"/>
    <col min="16132" max="16132" width="10.875" style="3" customWidth="1"/>
    <col min="16133" max="16133" width="10.5" style="3" customWidth="1"/>
    <col min="16134" max="16134" width="11" style="3" customWidth="1"/>
    <col min="16135" max="16135" width="9.125" style="3" customWidth="1"/>
    <col min="16136" max="16136" width="10.375" style="3" customWidth="1"/>
    <col min="16137" max="16137" width="10" style="3" customWidth="1"/>
    <col min="16138" max="16138" width="9.875" style="3" customWidth="1"/>
    <col min="16139" max="16139" width="10.875" style="3" customWidth="1"/>
    <col min="16140" max="16140" width="10.5" style="3" customWidth="1"/>
    <col min="16141" max="16141" width="11" style="3" customWidth="1"/>
    <col min="16142" max="16142" width="9" style="3"/>
    <col min="16143" max="16143" width="10.5" style="3" customWidth="1"/>
    <col min="16144" max="16144" width="9" style="3"/>
    <col min="16145" max="16145" width="19.125" style="3" customWidth="1"/>
    <col min="16146" max="16146" width="14" style="3" customWidth="1"/>
    <col min="16147" max="16147" width="16.75" style="3" customWidth="1"/>
    <col min="16148" max="16384" width="9" style="3"/>
  </cols>
  <sheetData>
    <row r="1" spans="1:23" ht="32.450000000000003" customHeight="1">
      <c r="B1" s="188" t="s">
        <v>0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</row>
    <row r="2" spans="1:23" ht="27" customHeight="1" thickBot="1">
      <c r="H2" s="6"/>
      <c r="L2" s="190" t="s">
        <v>210</v>
      </c>
      <c r="M2" s="190"/>
      <c r="N2" s="190"/>
      <c r="O2" s="190"/>
    </row>
    <row r="3" spans="1:23" s="1" customFormat="1" ht="53.25" customHeight="1" thickTop="1" thickBot="1">
      <c r="B3" s="7" t="s">
        <v>1</v>
      </c>
      <c r="C3" s="8" t="s">
        <v>2</v>
      </c>
      <c r="D3" s="9" t="s">
        <v>3</v>
      </c>
      <c r="E3" s="9" t="s">
        <v>4</v>
      </c>
      <c r="F3" s="9" t="s">
        <v>5</v>
      </c>
      <c r="G3" s="10" t="s">
        <v>6</v>
      </c>
      <c r="H3" s="11" t="s">
        <v>7</v>
      </c>
      <c r="I3" s="40" t="s">
        <v>1</v>
      </c>
      <c r="J3" s="11" t="s">
        <v>2</v>
      </c>
      <c r="K3" s="41" t="s">
        <v>3</v>
      </c>
      <c r="L3" s="164" t="s">
        <v>4</v>
      </c>
      <c r="M3" s="164" t="s">
        <v>5</v>
      </c>
      <c r="N3" s="165" t="s">
        <v>6</v>
      </c>
      <c r="O3" s="42" t="s">
        <v>7</v>
      </c>
      <c r="R3" s="63" t="s">
        <v>8</v>
      </c>
    </row>
    <row r="4" spans="1:23" ht="35.1" customHeight="1">
      <c r="A4" s="3" t="s">
        <v>8</v>
      </c>
      <c r="B4" s="12" t="s">
        <v>80</v>
      </c>
      <c r="C4" s="13" t="s">
        <v>81</v>
      </c>
      <c r="D4" s="14" t="s">
        <v>82</v>
      </c>
      <c r="E4" s="15">
        <f>1800/30*G4</f>
        <v>1800</v>
      </c>
      <c r="F4" s="16">
        <f t="shared" ref="F4:F22" si="0">E4+300</f>
        <v>2100</v>
      </c>
      <c r="G4" s="17">
        <v>30</v>
      </c>
      <c r="H4" s="18" t="str">
        <f>IF(G4&lt;30,"V"," ")</f>
        <v xml:space="preserve"> </v>
      </c>
      <c r="I4" s="43"/>
      <c r="J4" s="166" t="s">
        <v>177</v>
      </c>
      <c r="K4" s="141" t="s">
        <v>175</v>
      </c>
      <c r="L4" s="15">
        <f>1800/30*N4</f>
        <v>1200</v>
      </c>
      <c r="M4" s="16">
        <f>L4+300</f>
        <v>1500</v>
      </c>
      <c r="N4" s="17">
        <v>20</v>
      </c>
      <c r="O4" s="18" t="str">
        <f>IF(N4&lt;30,"V"," ")</f>
        <v>V</v>
      </c>
    </row>
    <row r="5" spans="1:23" ht="35.1" customHeight="1">
      <c r="B5" s="19"/>
      <c r="C5" s="20" t="s">
        <v>85</v>
      </c>
      <c r="D5" s="21" t="s">
        <v>86</v>
      </c>
      <c r="E5" s="15">
        <f t="shared" ref="E5:E23" si="1">1800/30*G5</f>
        <v>1800</v>
      </c>
      <c r="F5" s="22">
        <f t="shared" si="0"/>
        <v>2100</v>
      </c>
      <c r="G5" s="23">
        <v>30</v>
      </c>
      <c r="H5" s="18" t="str">
        <f t="shared" ref="H5:H24" si="2">IF(G5&lt;30,"V"," ")</f>
        <v xml:space="preserve"> </v>
      </c>
      <c r="I5" s="43"/>
      <c r="J5" s="166" t="s">
        <v>178</v>
      </c>
      <c r="K5" s="141" t="s">
        <v>176</v>
      </c>
      <c r="L5" s="15">
        <f>1800/30*N5</f>
        <v>1200</v>
      </c>
      <c r="M5" s="16">
        <f>L5+300</f>
        <v>1500</v>
      </c>
      <c r="N5" s="17">
        <v>20</v>
      </c>
      <c r="O5" s="18" t="str">
        <f>IF(N5&lt;30,"V"," ")</f>
        <v>V</v>
      </c>
      <c r="R5" s="64"/>
    </row>
    <row r="6" spans="1:23" ht="35.1" customHeight="1" thickBot="1">
      <c r="B6" s="25"/>
      <c r="C6" s="26" t="s">
        <v>91</v>
      </c>
      <c r="D6" s="21" t="s">
        <v>92</v>
      </c>
      <c r="E6" s="15">
        <f t="shared" si="1"/>
        <v>1800</v>
      </c>
      <c r="F6" s="22">
        <f t="shared" si="0"/>
        <v>2100</v>
      </c>
      <c r="G6" s="23">
        <v>30</v>
      </c>
      <c r="H6" s="31" t="str">
        <f t="shared" si="2"/>
        <v xml:space="preserve"> </v>
      </c>
      <c r="I6" s="43"/>
      <c r="J6" s="44"/>
      <c r="K6" s="45"/>
      <c r="L6" s="45"/>
      <c r="M6" s="45"/>
      <c r="N6" s="45"/>
      <c r="O6" s="31" t="str">
        <f>IF(G17&lt;30,"V"," ")</f>
        <v xml:space="preserve"> </v>
      </c>
      <c r="R6" s="64"/>
    </row>
    <row r="7" spans="1:23" ht="35.1" customHeight="1" thickTop="1" thickBot="1">
      <c r="B7" s="25"/>
      <c r="C7" s="20" t="s">
        <v>95</v>
      </c>
      <c r="D7" s="21" t="s">
        <v>96</v>
      </c>
      <c r="E7" s="15">
        <f t="shared" si="1"/>
        <v>600</v>
      </c>
      <c r="F7" s="22">
        <f t="shared" si="0"/>
        <v>900</v>
      </c>
      <c r="G7" s="23">
        <v>10</v>
      </c>
      <c r="H7" s="24" t="str">
        <f t="shared" si="2"/>
        <v>V</v>
      </c>
      <c r="I7" s="191" t="s">
        <v>51</v>
      </c>
      <c r="J7" s="192"/>
      <c r="K7" s="192"/>
      <c r="L7" s="192"/>
      <c r="M7" s="192"/>
      <c r="N7" s="192"/>
      <c r="O7" s="193"/>
      <c r="R7" s="65"/>
    </row>
    <row r="8" spans="1:23" ht="35.1" customHeight="1" thickTop="1">
      <c r="B8" s="25"/>
      <c r="C8" s="20" t="s">
        <v>99</v>
      </c>
      <c r="D8" s="21" t="s">
        <v>100</v>
      </c>
      <c r="E8" s="15">
        <f t="shared" si="1"/>
        <v>1800</v>
      </c>
      <c r="F8" s="22">
        <f t="shared" si="0"/>
        <v>2100</v>
      </c>
      <c r="G8" s="23">
        <v>30</v>
      </c>
      <c r="H8" s="24" t="str">
        <f t="shared" si="2"/>
        <v xml:space="preserve"> </v>
      </c>
      <c r="I8" s="46" t="s">
        <v>53</v>
      </c>
      <c r="J8" s="47" t="s">
        <v>120</v>
      </c>
      <c r="K8" s="48" t="s">
        <v>121</v>
      </c>
      <c r="L8" s="15">
        <v>800</v>
      </c>
      <c r="M8" s="16">
        <f t="shared" ref="M8:M20" si="3">L8+300</f>
        <v>1100</v>
      </c>
      <c r="N8" s="17"/>
      <c r="O8" s="49"/>
      <c r="R8" s="65"/>
    </row>
    <row r="9" spans="1:23" ht="35.1" customHeight="1">
      <c r="B9" s="25"/>
      <c r="C9" s="20" t="s">
        <v>103</v>
      </c>
      <c r="D9" s="21" t="s">
        <v>104</v>
      </c>
      <c r="E9" s="15">
        <f t="shared" si="1"/>
        <v>1800</v>
      </c>
      <c r="F9" s="22">
        <f t="shared" si="0"/>
        <v>2100</v>
      </c>
      <c r="G9" s="23">
        <v>30</v>
      </c>
      <c r="H9" s="24" t="str">
        <f t="shared" si="2"/>
        <v xml:space="preserve"> </v>
      </c>
      <c r="I9" s="50"/>
      <c r="J9" s="47" t="s">
        <v>122</v>
      </c>
      <c r="K9" s="21" t="s">
        <v>123</v>
      </c>
      <c r="L9" s="51"/>
      <c r="M9" s="16"/>
      <c r="N9" s="194" t="s">
        <v>212</v>
      </c>
      <c r="O9" s="195"/>
      <c r="R9" s="65"/>
    </row>
    <row r="10" spans="1:23" ht="35.1" customHeight="1">
      <c r="B10" s="25"/>
      <c r="C10" s="20" t="s">
        <v>107</v>
      </c>
      <c r="D10" s="21" t="s">
        <v>108</v>
      </c>
      <c r="E10" s="15">
        <f t="shared" si="1"/>
        <v>1800</v>
      </c>
      <c r="F10" s="22">
        <f t="shared" si="0"/>
        <v>2100</v>
      </c>
      <c r="G10" s="23">
        <v>30</v>
      </c>
      <c r="H10" s="24" t="str">
        <f t="shared" si="2"/>
        <v xml:space="preserve"> </v>
      </c>
      <c r="I10" s="50"/>
      <c r="J10" s="47" t="s">
        <v>124</v>
      </c>
      <c r="K10" s="21" t="s">
        <v>125</v>
      </c>
      <c r="L10" s="51">
        <v>3000</v>
      </c>
      <c r="M10" s="16">
        <f t="shared" si="3"/>
        <v>3300</v>
      </c>
      <c r="N10" s="23"/>
      <c r="O10" s="178" t="s">
        <v>224</v>
      </c>
      <c r="R10" s="65"/>
      <c r="S10" s="66">
        <f>SUMIFS(F4:F26,F4:F26,2100)</f>
        <v>37800</v>
      </c>
    </row>
    <row r="11" spans="1:23" ht="35.1" customHeight="1">
      <c r="B11" s="25" t="s">
        <v>8</v>
      </c>
      <c r="C11" s="20" t="s">
        <v>111</v>
      </c>
      <c r="D11" s="21" t="s">
        <v>199</v>
      </c>
      <c r="E11" s="15">
        <f t="shared" si="1"/>
        <v>1800</v>
      </c>
      <c r="F11" s="22">
        <f t="shared" si="0"/>
        <v>2100</v>
      </c>
      <c r="G11" s="23">
        <v>30</v>
      </c>
      <c r="H11" s="24" t="str">
        <f t="shared" si="2"/>
        <v xml:space="preserve"> </v>
      </c>
      <c r="I11" s="50"/>
      <c r="J11" s="47" t="s">
        <v>127</v>
      </c>
      <c r="K11" s="21" t="s">
        <v>128</v>
      </c>
      <c r="L11" s="51">
        <v>1200</v>
      </c>
      <c r="M11" s="16">
        <f t="shared" si="3"/>
        <v>1500</v>
      </c>
      <c r="N11" s="23"/>
      <c r="O11" s="136" t="s">
        <v>223</v>
      </c>
      <c r="S11" s="67">
        <f>SUMIFS(M4:M6,M4:M6,2100)</f>
        <v>0</v>
      </c>
    </row>
    <row r="12" spans="1:23" ht="33.75" customHeight="1" thickBot="1">
      <c r="B12" s="25"/>
      <c r="C12" s="20" t="s">
        <v>116</v>
      </c>
      <c r="D12" s="21" t="s">
        <v>117</v>
      </c>
      <c r="E12" s="15">
        <f t="shared" si="1"/>
        <v>1800</v>
      </c>
      <c r="F12" s="22">
        <f t="shared" si="0"/>
        <v>2100</v>
      </c>
      <c r="G12" s="23">
        <v>30</v>
      </c>
      <c r="H12" s="24" t="str">
        <f t="shared" si="2"/>
        <v xml:space="preserve"> </v>
      </c>
      <c r="I12" s="50"/>
      <c r="J12" s="47" t="s">
        <v>129</v>
      </c>
      <c r="K12" s="21" t="s">
        <v>130</v>
      </c>
      <c r="L12" s="51">
        <v>900</v>
      </c>
      <c r="M12" s="16">
        <f t="shared" si="3"/>
        <v>1200</v>
      </c>
      <c r="N12" s="23"/>
      <c r="O12" s="136"/>
      <c r="R12" s="68" t="s">
        <v>115</v>
      </c>
      <c r="S12" s="69">
        <f>SUM(S10:S11)</f>
        <v>37800</v>
      </c>
      <c r="W12" s="70"/>
    </row>
    <row r="13" spans="1:23" ht="35.1" customHeight="1" thickTop="1">
      <c r="B13" s="25" t="s">
        <v>8</v>
      </c>
      <c r="C13" s="20" t="s">
        <v>118</v>
      </c>
      <c r="D13" s="27" t="s">
        <v>119</v>
      </c>
      <c r="E13" s="15">
        <f t="shared" si="1"/>
        <v>1800</v>
      </c>
      <c r="F13" s="22">
        <f t="shared" si="0"/>
        <v>2100</v>
      </c>
      <c r="G13" s="23">
        <v>30</v>
      </c>
      <c r="H13" s="24" t="str">
        <f t="shared" si="2"/>
        <v xml:space="preserve"> </v>
      </c>
      <c r="I13" s="50"/>
      <c r="J13" s="47" t="s">
        <v>131</v>
      </c>
      <c r="K13" s="21" t="s">
        <v>132</v>
      </c>
      <c r="L13" s="51">
        <v>900</v>
      </c>
      <c r="M13" s="16">
        <f t="shared" si="3"/>
        <v>1200</v>
      </c>
      <c r="N13" s="23"/>
      <c r="O13" s="52"/>
    </row>
    <row r="14" spans="1:23" ht="35.1" customHeight="1">
      <c r="B14" s="25"/>
      <c r="C14" s="20" t="s">
        <v>83</v>
      </c>
      <c r="D14" s="29" t="s">
        <v>84</v>
      </c>
      <c r="E14" s="15">
        <f t="shared" si="1"/>
        <v>1800</v>
      </c>
      <c r="F14" s="16">
        <f t="shared" si="0"/>
        <v>2100</v>
      </c>
      <c r="G14" s="17">
        <v>30</v>
      </c>
      <c r="H14" s="24" t="str">
        <f t="shared" si="2"/>
        <v xml:space="preserve"> </v>
      </c>
      <c r="I14" s="50"/>
      <c r="J14" s="47" t="s">
        <v>133</v>
      </c>
      <c r="K14" s="21" t="s">
        <v>134</v>
      </c>
      <c r="L14" s="51">
        <v>900</v>
      </c>
      <c r="M14" s="16">
        <f t="shared" si="3"/>
        <v>1200</v>
      </c>
      <c r="N14" s="23"/>
      <c r="O14" s="52"/>
      <c r="S14" s="71">
        <f>SUMIFS(M4:M5,O4:O5,"V")</f>
        <v>3000</v>
      </c>
    </row>
    <row r="15" spans="1:23" ht="35.1" customHeight="1">
      <c r="B15" s="19"/>
      <c r="C15" s="20" t="s">
        <v>87</v>
      </c>
      <c r="D15" s="21" t="s">
        <v>88</v>
      </c>
      <c r="E15" s="28">
        <f t="shared" si="1"/>
        <v>1800</v>
      </c>
      <c r="F15" s="22">
        <f t="shared" si="0"/>
        <v>2100</v>
      </c>
      <c r="G15" s="23">
        <v>30</v>
      </c>
      <c r="H15" s="18" t="str">
        <f t="shared" si="2"/>
        <v xml:space="preserve"> </v>
      </c>
      <c r="I15" s="50"/>
      <c r="J15" s="47" t="s">
        <v>142</v>
      </c>
      <c r="K15" s="21" t="s">
        <v>143</v>
      </c>
      <c r="L15" s="51">
        <v>800</v>
      </c>
      <c r="M15" s="16">
        <f t="shared" si="3"/>
        <v>1100</v>
      </c>
      <c r="N15" s="23"/>
      <c r="O15" s="137"/>
      <c r="R15" s="64"/>
      <c r="S15" s="72">
        <f>SUMIFS(F4:F26,H4:H26,"V")</f>
        <v>3760</v>
      </c>
    </row>
    <row r="16" spans="1:23" ht="35.1" customHeight="1" thickBot="1">
      <c r="B16" s="25"/>
      <c r="C16" s="20" t="s">
        <v>89</v>
      </c>
      <c r="D16" s="30" t="s">
        <v>90</v>
      </c>
      <c r="E16" s="28">
        <f t="shared" si="1"/>
        <v>1800</v>
      </c>
      <c r="F16" s="22">
        <f t="shared" si="0"/>
        <v>2100</v>
      </c>
      <c r="G16" s="23">
        <v>30</v>
      </c>
      <c r="H16" s="31" t="str">
        <f t="shared" si="2"/>
        <v xml:space="preserve"> </v>
      </c>
      <c r="I16" s="50"/>
      <c r="J16" s="47" t="s">
        <v>137</v>
      </c>
      <c r="K16" s="30" t="s">
        <v>138</v>
      </c>
      <c r="L16" s="51">
        <v>900</v>
      </c>
      <c r="M16" s="16">
        <f t="shared" si="3"/>
        <v>1200</v>
      </c>
      <c r="N16" s="23"/>
      <c r="O16" s="52"/>
      <c r="R16" s="5" t="s">
        <v>126</v>
      </c>
      <c r="S16" s="73">
        <f>SUM(S14,S15)</f>
        <v>6760</v>
      </c>
    </row>
    <row r="17" spans="1:19" ht="35.1" customHeight="1" thickTop="1">
      <c r="B17" s="25"/>
      <c r="C17" s="20" t="s">
        <v>93</v>
      </c>
      <c r="D17" s="30" t="s">
        <v>94</v>
      </c>
      <c r="E17" s="28">
        <f t="shared" si="1"/>
        <v>1800</v>
      </c>
      <c r="F17" s="22">
        <f t="shared" si="0"/>
        <v>2100</v>
      </c>
      <c r="G17" s="23">
        <v>30</v>
      </c>
      <c r="H17" s="31" t="str">
        <f t="shared" si="2"/>
        <v xml:space="preserve"> </v>
      </c>
      <c r="I17" s="50"/>
      <c r="J17" s="47" t="s">
        <v>135</v>
      </c>
      <c r="K17" s="21" t="s">
        <v>136</v>
      </c>
      <c r="L17" s="51">
        <v>900</v>
      </c>
      <c r="M17" s="16">
        <f t="shared" si="3"/>
        <v>1200</v>
      </c>
      <c r="N17" s="127"/>
      <c r="O17" s="142"/>
    </row>
    <row r="18" spans="1:19" ht="35.1" customHeight="1">
      <c r="B18" s="25"/>
      <c r="C18" s="20" t="s">
        <v>97</v>
      </c>
      <c r="D18" s="30" t="s">
        <v>98</v>
      </c>
      <c r="E18" s="28">
        <f t="shared" si="1"/>
        <v>1800</v>
      </c>
      <c r="F18" s="22">
        <f t="shared" si="0"/>
        <v>2100</v>
      </c>
      <c r="G18" s="23">
        <v>30</v>
      </c>
      <c r="H18" s="31" t="str">
        <f t="shared" si="2"/>
        <v xml:space="preserve"> </v>
      </c>
      <c r="I18" s="53"/>
      <c r="J18" s="47" t="s">
        <v>147</v>
      </c>
      <c r="K18" s="21" t="s">
        <v>153</v>
      </c>
      <c r="L18" s="51">
        <v>900</v>
      </c>
      <c r="M18" s="16">
        <f t="shared" si="3"/>
        <v>1200</v>
      </c>
      <c r="N18" s="127"/>
      <c r="O18" s="167"/>
      <c r="R18" s="74" t="s">
        <v>77</v>
      </c>
      <c r="S18" s="75">
        <f>SUM(M8:M26)</f>
        <v>21700</v>
      </c>
    </row>
    <row r="19" spans="1:19" ht="35.1" customHeight="1" thickBot="1">
      <c r="B19" s="25"/>
      <c r="C19" s="20" t="s">
        <v>101</v>
      </c>
      <c r="D19" s="30" t="s">
        <v>102</v>
      </c>
      <c r="E19" s="28">
        <f t="shared" si="1"/>
        <v>1800</v>
      </c>
      <c r="F19" s="22">
        <f t="shared" si="0"/>
        <v>2100</v>
      </c>
      <c r="G19" s="23">
        <v>30</v>
      </c>
      <c r="H19" s="31" t="str">
        <f t="shared" si="2"/>
        <v xml:space="preserve"> </v>
      </c>
      <c r="I19" s="53"/>
      <c r="J19" s="47" t="s">
        <v>148</v>
      </c>
      <c r="K19" s="21" t="s">
        <v>149</v>
      </c>
      <c r="L19" s="51"/>
      <c r="M19" s="16"/>
      <c r="N19" s="196" t="s">
        <v>212</v>
      </c>
      <c r="O19" s="197"/>
      <c r="R19" s="5" t="s">
        <v>64</v>
      </c>
      <c r="S19" s="73">
        <f>SUM(S16,S12,S18)</f>
        <v>66260</v>
      </c>
    </row>
    <row r="20" spans="1:19" ht="35.1" customHeight="1" thickTop="1">
      <c r="B20" s="25"/>
      <c r="C20" s="20" t="s">
        <v>105</v>
      </c>
      <c r="D20" s="21" t="s">
        <v>106</v>
      </c>
      <c r="E20" s="28">
        <f t="shared" si="1"/>
        <v>600</v>
      </c>
      <c r="F20" s="22">
        <f t="shared" si="0"/>
        <v>900</v>
      </c>
      <c r="G20" s="23">
        <v>10</v>
      </c>
      <c r="H20" s="31" t="str">
        <f t="shared" si="2"/>
        <v>V</v>
      </c>
      <c r="I20" s="53"/>
      <c r="J20" s="47" t="s">
        <v>150</v>
      </c>
      <c r="K20" s="21" t="s">
        <v>151</v>
      </c>
      <c r="L20" s="51">
        <v>1100</v>
      </c>
      <c r="M20" s="16">
        <f t="shared" si="3"/>
        <v>1400</v>
      </c>
      <c r="N20" s="45"/>
      <c r="O20" s="138"/>
      <c r="R20" s="5" t="s">
        <v>68</v>
      </c>
      <c r="S20" s="76">
        <f>SUM(F4:F26,M4:M26)</f>
        <v>66260</v>
      </c>
    </row>
    <row r="21" spans="1:19" ht="35.1" customHeight="1">
      <c r="B21" s="25"/>
      <c r="C21" s="20" t="s">
        <v>109</v>
      </c>
      <c r="D21" s="21" t="s">
        <v>110</v>
      </c>
      <c r="E21" s="28">
        <f t="shared" si="1"/>
        <v>1800</v>
      </c>
      <c r="F21" s="22">
        <f t="shared" si="0"/>
        <v>2100</v>
      </c>
      <c r="G21" s="23">
        <v>30</v>
      </c>
      <c r="H21" s="31" t="str">
        <f t="shared" si="2"/>
        <v xml:space="preserve"> </v>
      </c>
      <c r="I21" s="53"/>
      <c r="J21" s="47" t="s">
        <v>154</v>
      </c>
      <c r="K21" s="21" t="s">
        <v>152</v>
      </c>
      <c r="L21" s="51"/>
      <c r="M21" s="16"/>
      <c r="N21" s="196" t="s">
        <v>212</v>
      </c>
      <c r="O21" s="197"/>
      <c r="S21" s="76"/>
    </row>
    <row r="22" spans="1:19" ht="35.1" customHeight="1">
      <c r="B22" s="25"/>
      <c r="C22" s="20" t="s">
        <v>113</v>
      </c>
      <c r="D22" s="32" t="s">
        <v>114</v>
      </c>
      <c r="E22" s="28">
        <f t="shared" si="1"/>
        <v>540</v>
      </c>
      <c r="F22" s="33">
        <f t="shared" si="0"/>
        <v>840</v>
      </c>
      <c r="G22" s="23">
        <v>9</v>
      </c>
      <c r="H22" s="31" t="str">
        <f t="shared" si="2"/>
        <v>V</v>
      </c>
      <c r="I22" s="132"/>
      <c r="J22" s="133" t="s">
        <v>160</v>
      </c>
      <c r="K22" s="30" t="s">
        <v>159</v>
      </c>
      <c r="L22" s="51">
        <v>1000</v>
      </c>
      <c r="M22" s="16">
        <f>L22+300</f>
        <v>1300</v>
      </c>
      <c r="N22" s="45"/>
      <c r="O22" s="130"/>
      <c r="S22" s="76"/>
    </row>
    <row r="23" spans="1:19" ht="35.1" customHeight="1">
      <c r="B23" s="25"/>
      <c r="C23" s="140" t="s">
        <v>163</v>
      </c>
      <c r="D23" s="32" t="s">
        <v>164</v>
      </c>
      <c r="E23" s="28">
        <f t="shared" si="1"/>
        <v>1800</v>
      </c>
      <c r="F23" s="33">
        <f>E23+300</f>
        <v>2100</v>
      </c>
      <c r="G23" s="23">
        <v>30</v>
      </c>
      <c r="H23" s="31" t="str">
        <f t="shared" si="2"/>
        <v xml:space="preserve"> </v>
      </c>
      <c r="I23" s="132"/>
      <c r="J23" s="133" t="s">
        <v>184</v>
      </c>
      <c r="K23" s="30" t="s">
        <v>180</v>
      </c>
      <c r="L23" s="51">
        <v>900</v>
      </c>
      <c r="M23" s="16">
        <f>L23+300</f>
        <v>1200</v>
      </c>
      <c r="N23" s="45"/>
      <c r="O23" s="130"/>
      <c r="S23" s="76"/>
    </row>
    <row r="24" spans="1:19" ht="35.1" customHeight="1">
      <c r="B24" s="25"/>
      <c r="C24" s="20" t="s">
        <v>165</v>
      </c>
      <c r="D24" s="21" t="s">
        <v>166</v>
      </c>
      <c r="E24" s="28">
        <f>1800/30*G24</f>
        <v>1800</v>
      </c>
      <c r="F24" s="22">
        <f t="shared" ref="F24" si="4">E24+300</f>
        <v>2100</v>
      </c>
      <c r="G24" s="23">
        <v>30</v>
      </c>
      <c r="H24" s="18" t="str">
        <f t="shared" si="2"/>
        <v xml:space="preserve"> </v>
      </c>
      <c r="I24" s="132"/>
      <c r="J24" s="133" t="s">
        <v>185</v>
      </c>
      <c r="K24" s="30" t="s">
        <v>181</v>
      </c>
      <c r="L24" s="51">
        <v>900</v>
      </c>
      <c r="M24" s="16">
        <f t="shared" ref="M24:M26" si="5">L24+300</f>
        <v>1200</v>
      </c>
      <c r="N24" s="45"/>
      <c r="O24" s="130"/>
      <c r="S24" s="76"/>
    </row>
    <row r="25" spans="1:19" ht="35.1" customHeight="1">
      <c r="B25" s="168"/>
      <c r="C25" s="169"/>
      <c r="D25" s="170" t="s">
        <v>211</v>
      </c>
      <c r="E25" s="28">
        <f>1800/30*G25</f>
        <v>960</v>
      </c>
      <c r="F25" s="22">
        <f>E25+160</f>
        <v>1120</v>
      </c>
      <c r="G25" s="23">
        <v>16</v>
      </c>
      <c r="H25" s="18" t="str">
        <f t="shared" ref="H25" si="6">IF(G25&lt;30,"V"," ")</f>
        <v>V</v>
      </c>
      <c r="I25" s="53"/>
      <c r="J25" s="133" t="s">
        <v>186</v>
      </c>
      <c r="K25" s="30" t="s">
        <v>182</v>
      </c>
      <c r="L25" s="51">
        <v>900</v>
      </c>
      <c r="M25" s="16">
        <f t="shared" si="5"/>
        <v>1200</v>
      </c>
      <c r="N25" s="45"/>
      <c r="O25" s="130"/>
      <c r="R25" s="3"/>
    </row>
    <row r="26" spans="1:19" ht="35.1" customHeight="1" thickBot="1">
      <c r="B26" s="34"/>
      <c r="C26" s="157"/>
      <c r="D26" s="158"/>
      <c r="E26" s="144"/>
      <c r="F26" s="145"/>
      <c r="G26" s="159"/>
      <c r="H26" s="156"/>
      <c r="I26" s="160"/>
      <c r="J26" s="173" t="s">
        <v>187</v>
      </c>
      <c r="K26" s="172" t="s">
        <v>183</v>
      </c>
      <c r="L26" s="174">
        <v>900</v>
      </c>
      <c r="M26" s="145">
        <f t="shared" si="5"/>
        <v>1200</v>
      </c>
      <c r="N26" s="161"/>
      <c r="O26" s="162"/>
      <c r="R26" s="3"/>
    </row>
    <row r="27" spans="1:19" ht="25.15" customHeight="1" thickTop="1">
      <c r="B27" s="35"/>
      <c r="C27" s="35"/>
      <c r="D27" s="131"/>
      <c r="E27" s="36"/>
      <c r="F27" s="37"/>
      <c r="G27" s="38"/>
      <c r="H27" s="39"/>
      <c r="I27" s="56"/>
      <c r="J27" s="57"/>
      <c r="K27" s="58"/>
      <c r="L27" s="59"/>
      <c r="M27" s="37"/>
      <c r="N27" s="38"/>
      <c r="O27" s="60"/>
    </row>
    <row r="28" spans="1:19" s="2" customFormat="1" ht="24.6" customHeight="1">
      <c r="A28" s="2" t="s">
        <v>8</v>
      </c>
      <c r="B28" s="186" t="s">
        <v>225</v>
      </c>
      <c r="C28" s="186"/>
      <c r="D28" s="186"/>
      <c r="E28" s="186"/>
      <c r="F28" s="186"/>
      <c r="G28" s="186"/>
      <c r="H28" s="186"/>
      <c r="I28" s="186"/>
      <c r="J28" s="186"/>
      <c r="K28" s="186"/>
      <c r="L28" s="186"/>
      <c r="M28" s="186"/>
      <c r="N28" s="186"/>
      <c r="O28" s="186"/>
      <c r="P28" s="61" t="s">
        <v>77</v>
      </c>
      <c r="Q28" s="77" t="s">
        <v>78</v>
      </c>
    </row>
    <row r="29" spans="1:19" s="2" customFormat="1" ht="24.6" customHeight="1">
      <c r="B29" s="187" t="s">
        <v>226</v>
      </c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62"/>
      <c r="Q29" s="77" t="s">
        <v>79</v>
      </c>
    </row>
    <row r="30" spans="1:19" s="2" customFormat="1" ht="24.6" customHeight="1">
      <c r="B30" s="186" t="s">
        <v>227</v>
      </c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6"/>
    </row>
    <row r="31" spans="1:19" s="2" customFormat="1" ht="19.5">
      <c r="B31" s="186" t="s">
        <v>228</v>
      </c>
      <c r="C31" s="186"/>
      <c r="D31" s="186"/>
      <c r="E31" s="186"/>
      <c r="F31" s="186"/>
      <c r="G31" s="186"/>
      <c r="H31" s="186"/>
      <c r="I31" s="186"/>
      <c r="J31" s="186"/>
      <c r="K31" s="186"/>
      <c r="L31" s="186"/>
      <c r="M31" s="186"/>
      <c r="N31" s="186"/>
      <c r="O31" s="186"/>
      <c r="R31" s="78"/>
    </row>
  </sheetData>
  <mergeCells count="10">
    <mergeCell ref="B31:O31"/>
    <mergeCell ref="B1:O1"/>
    <mergeCell ref="L2:O2"/>
    <mergeCell ref="I7:O7"/>
    <mergeCell ref="B28:O28"/>
    <mergeCell ref="B29:O29"/>
    <mergeCell ref="B30:O30"/>
    <mergeCell ref="N19:O19"/>
    <mergeCell ref="N21:O21"/>
    <mergeCell ref="N9:O9"/>
  </mergeCells>
  <phoneticPr fontId="26" type="noConversion"/>
  <conditionalFormatting sqref="G4:G26">
    <cfRule type="cellIs" dxfId="4" priority="2" stopIfTrue="1" operator="lessThan">
      <formula>30</formula>
    </cfRule>
  </conditionalFormatting>
  <conditionalFormatting sqref="N4:N5">
    <cfRule type="cellIs" dxfId="3" priority="1" stopIfTrue="1" operator="lessThan">
      <formula>30</formula>
    </cfRule>
  </conditionalFormatting>
  <printOptions horizontalCentered="1"/>
  <pageMargins left="0.23622047244094499" right="0.23622047244094499" top="0.35433070866141703" bottom="0.35433070866141703" header="0" footer="0"/>
  <pageSetup paperSize="9" scale="6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AB3D1-2390-447E-A13D-4FD4EC8B9369}">
  <sheetPr>
    <pageSetUpPr fitToPage="1"/>
  </sheetPr>
  <dimension ref="A1:S41"/>
  <sheetViews>
    <sheetView topLeftCell="A17" zoomScale="70" zoomScaleNormal="70" workbookViewId="0">
      <selection activeCell="H15" sqref="H15"/>
    </sheetView>
  </sheetViews>
  <sheetFormatPr defaultColWidth="9" defaultRowHeight="16.5"/>
  <cols>
    <col min="1" max="1" width="1.875" style="3" customWidth="1"/>
    <col min="2" max="2" width="10" style="4" customWidth="1"/>
    <col min="3" max="3" width="9.875" style="4" customWidth="1"/>
    <col min="4" max="4" width="10.875" style="4" customWidth="1"/>
    <col min="5" max="5" width="10.5" style="4" customWidth="1"/>
    <col min="6" max="6" width="11" style="4" customWidth="1"/>
    <col min="7" max="7" width="9" style="4" customWidth="1"/>
    <col min="8" max="8" width="10.625" style="4" customWidth="1"/>
    <col min="9" max="9" width="10" style="4" customWidth="1"/>
    <col min="10" max="10" width="9.875" style="4" customWidth="1"/>
    <col min="11" max="11" width="10.875" style="4" customWidth="1"/>
    <col min="12" max="12" width="10.5" style="4" customWidth="1"/>
    <col min="13" max="13" width="11" style="4" customWidth="1"/>
    <col min="14" max="14" width="9" style="4" customWidth="1"/>
    <col min="15" max="15" width="10.625" style="4" customWidth="1"/>
    <col min="16" max="16" width="9" style="3" customWidth="1"/>
    <col min="17" max="17" width="19.5" style="3" customWidth="1"/>
    <col min="18" max="18" width="16.75" style="3" customWidth="1"/>
    <col min="19" max="19" width="16.5" style="3" customWidth="1"/>
    <col min="20" max="256" width="9" style="3"/>
    <col min="257" max="257" width="1.875" style="3" customWidth="1"/>
    <col min="258" max="258" width="10" style="3" customWidth="1"/>
    <col min="259" max="259" width="9.875" style="3" customWidth="1"/>
    <col min="260" max="260" width="10.875" style="3" customWidth="1"/>
    <col min="261" max="261" width="10.5" style="3" customWidth="1"/>
    <col min="262" max="262" width="11" style="3" customWidth="1"/>
    <col min="263" max="263" width="9" style="3"/>
    <col min="264" max="264" width="10.625" style="3" customWidth="1"/>
    <col min="265" max="265" width="10" style="3" customWidth="1"/>
    <col min="266" max="266" width="9.875" style="3" customWidth="1"/>
    <col min="267" max="267" width="10.875" style="3" customWidth="1"/>
    <col min="268" max="268" width="10.5" style="3" customWidth="1"/>
    <col min="269" max="269" width="11" style="3" customWidth="1"/>
    <col min="270" max="270" width="9" style="3"/>
    <col min="271" max="271" width="10.625" style="3" customWidth="1"/>
    <col min="272" max="272" width="9" style="3"/>
    <col min="273" max="273" width="19.5" style="3" customWidth="1"/>
    <col min="274" max="274" width="16.75" style="3" customWidth="1"/>
    <col min="275" max="275" width="16.5" style="3" customWidth="1"/>
    <col min="276" max="512" width="9" style="3"/>
    <col min="513" max="513" width="1.875" style="3" customWidth="1"/>
    <col min="514" max="514" width="10" style="3" customWidth="1"/>
    <col min="515" max="515" width="9.875" style="3" customWidth="1"/>
    <col min="516" max="516" width="10.875" style="3" customWidth="1"/>
    <col min="517" max="517" width="10.5" style="3" customWidth="1"/>
    <col min="518" max="518" width="11" style="3" customWidth="1"/>
    <col min="519" max="519" width="9" style="3"/>
    <col min="520" max="520" width="10.625" style="3" customWidth="1"/>
    <col min="521" max="521" width="10" style="3" customWidth="1"/>
    <col min="522" max="522" width="9.875" style="3" customWidth="1"/>
    <col min="523" max="523" width="10.875" style="3" customWidth="1"/>
    <col min="524" max="524" width="10.5" style="3" customWidth="1"/>
    <col min="525" max="525" width="11" style="3" customWidth="1"/>
    <col min="526" max="526" width="9" style="3"/>
    <col min="527" max="527" width="10.625" style="3" customWidth="1"/>
    <col min="528" max="528" width="9" style="3"/>
    <col min="529" max="529" width="19.5" style="3" customWidth="1"/>
    <col min="530" max="530" width="16.75" style="3" customWidth="1"/>
    <col min="531" max="531" width="16.5" style="3" customWidth="1"/>
    <col min="532" max="768" width="9" style="3"/>
    <col min="769" max="769" width="1.875" style="3" customWidth="1"/>
    <col min="770" max="770" width="10" style="3" customWidth="1"/>
    <col min="771" max="771" width="9.875" style="3" customWidth="1"/>
    <col min="772" max="772" width="10.875" style="3" customWidth="1"/>
    <col min="773" max="773" width="10.5" style="3" customWidth="1"/>
    <col min="774" max="774" width="11" style="3" customWidth="1"/>
    <col min="775" max="775" width="9" style="3"/>
    <col min="776" max="776" width="10.625" style="3" customWidth="1"/>
    <col min="777" max="777" width="10" style="3" customWidth="1"/>
    <col min="778" max="778" width="9.875" style="3" customWidth="1"/>
    <col min="779" max="779" width="10.875" style="3" customWidth="1"/>
    <col min="780" max="780" width="10.5" style="3" customWidth="1"/>
    <col min="781" max="781" width="11" style="3" customWidth="1"/>
    <col min="782" max="782" width="9" style="3"/>
    <col min="783" max="783" width="10.625" style="3" customWidth="1"/>
    <col min="784" max="784" width="9" style="3"/>
    <col min="785" max="785" width="19.5" style="3" customWidth="1"/>
    <col min="786" max="786" width="16.75" style="3" customWidth="1"/>
    <col min="787" max="787" width="16.5" style="3" customWidth="1"/>
    <col min="788" max="1024" width="9" style="3"/>
    <col min="1025" max="1025" width="1.875" style="3" customWidth="1"/>
    <col min="1026" max="1026" width="10" style="3" customWidth="1"/>
    <col min="1027" max="1027" width="9.875" style="3" customWidth="1"/>
    <col min="1028" max="1028" width="10.875" style="3" customWidth="1"/>
    <col min="1029" max="1029" width="10.5" style="3" customWidth="1"/>
    <col min="1030" max="1030" width="11" style="3" customWidth="1"/>
    <col min="1031" max="1031" width="9" style="3"/>
    <col min="1032" max="1032" width="10.625" style="3" customWidth="1"/>
    <col min="1033" max="1033" width="10" style="3" customWidth="1"/>
    <col min="1034" max="1034" width="9.875" style="3" customWidth="1"/>
    <col min="1035" max="1035" width="10.875" style="3" customWidth="1"/>
    <col min="1036" max="1036" width="10.5" style="3" customWidth="1"/>
    <col min="1037" max="1037" width="11" style="3" customWidth="1"/>
    <col min="1038" max="1038" width="9" style="3"/>
    <col min="1039" max="1039" width="10.625" style="3" customWidth="1"/>
    <col min="1040" max="1040" width="9" style="3"/>
    <col min="1041" max="1041" width="19.5" style="3" customWidth="1"/>
    <col min="1042" max="1042" width="16.75" style="3" customWidth="1"/>
    <col min="1043" max="1043" width="16.5" style="3" customWidth="1"/>
    <col min="1044" max="1280" width="9" style="3"/>
    <col min="1281" max="1281" width="1.875" style="3" customWidth="1"/>
    <col min="1282" max="1282" width="10" style="3" customWidth="1"/>
    <col min="1283" max="1283" width="9.875" style="3" customWidth="1"/>
    <col min="1284" max="1284" width="10.875" style="3" customWidth="1"/>
    <col min="1285" max="1285" width="10.5" style="3" customWidth="1"/>
    <col min="1286" max="1286" width="11" style="3" customWidth="1"/>
    <col min="1287" max="1287" width="9" style="3"/>
    <col min="1288" max="1288" width="10.625" style="3" customWidth="1"/>
    <col min="1289" max="1289" width="10" style="3" customWidth="1"/>
    <col min="1290" max="1290" width="9.875" style="3" customWidth="1"/>
    <col min="1291" max="1291" width="10.875" style="3" customWidth="1"/>
    <col min="1292" max="1292" width="10.5" style="3" customWidth="1"/>
    <col min="1293" max="1293" width="11" style="3" customWidth="1"/>
    <col min="1294" max="1294" width="9" style="3"/>
    <col min="1295" max="1295" width="10.625" style="3" customWidth="1"/>
    <col min="1296" max="1296" width="9" style="3"/>
    <col min="1297" max="1297" width="19.5" style="3" customWidth="1"/>
    <col min="1298" max="1298" width="16.75" style="3" customWidth="1"/>
    <col min="1299" max="1299" width="16.5" style="3" customWidth="1"/>
    <col min="1300" max="1536" width="9" style="3"/>
    <col min="1537" max="1537" width="1.875" style="3" customWidth="1"/>
    <col min="1538" max="1538" width="10" style="3" customWidth="1"/>
    <col min="1539" max="1539" width="9.875" style="3" customWidth="1"/>
    <col min="1540" max="1540" width="10.875" style="3" customWidth="1"/>
    <col min="1541" max="1541" width="10.5" style="3" customWidth="1"/>
    <col min="1542" max="1542" width="11" style="3" customWidth="1"/>
    <col min="1543" max="1543" width="9" style="3"/>
    <col min="1544" max="1544" width="10.625" style="3" customWidth="1"/>
    <col min="1545" max="1545" width="10" style="3" customWidth="1"/>
    <col min="1546" max="1546" width="9.875" style="3" customWidth="1"/>
    <col min="1547" max="1547" width="10.875" style="3" customWidth="1"/>
    <col min="1548" max="1548" width="10.5" style="3" customWidth="1"/>
    <col min="1549" max="1549" width="11" style="3" customWidth="1"/>
    <col min="1550" max="1550" width="9" style="3"/>
    <col min="1551" max="1551" width="10.625" style="3" customWidth="1"/>
    <col min="1552" max="1552" width="9" style="3"/>
    <col min="1553" max="1553" width="19.5" style="3" customWidth="1"/>
    <col min="1554" max="1554" width="16.75" style="3" customWidth="1"/>
    <col min="1555" max="1555" width="16.5" style="3" customWidth="1"/>
    <col min="1556" max="1792" width="9" style="3"/>
    <col min="1793" max="1793" width="1.875" style="3" customWidth="1"/>
    <col min="1794" max="1794" width="10" style="3" customWidth="1"/>
    <col min="1795" max="1795" width="9.875" style="3" customWidth="1"/>
    <col min="1796" max="1796" width="10.875" style="3" customWidth="1"/>
    <col min="1797" max="1797" width="10.5" style="3" customWidth="1"/>
    <col min="1798" max="1798" width="11" style="3" customWidth="1"/>
    <col min="1799" max="1799" width="9" style="3"/>
    <col min="1800" max="1800" width="10.625" style="3" customWidth="1"/>
    <col min="1801" max="1801" width="10" style="3" customWidth="1"/>
    <col min="1802" max="1802" width="9.875" style="3" customWidth="1"/>
    <col min="1803" max="1803" width="10.875" style="3" customWidth="1"/>
    <col min="1804" max="1804" width="10.5" style="3" customWidth="1"/>
    <col min="1805" max="1805" width="11" style="3" customWidth="1"/>
    <col min="1806" max="1806" width="9" style="3"/>
    <col min="1807" max="1807" width="10.625" style="3" customWidth="1"/>
    <col min="1808" max="1808" width="9" style="3"/>
    <col min="1809" max="1809" width="19.5" style="3" customWidth="1"/>
    <col min="1810" max="1810" width="16.75" style="3" customWidth="1"/>
    <col min="1811" max="1811" width="16.5" style="3" customWidth="1"/>
    <col min="1812" max="2048" width="9" style="3"/>
    <col min="2049" max="2049" width="1.875" style="3" customWidth="1"/>
    <col min="2050" max="2050" width="10" style="3" customWidth="1"/>
    <col min="2051" max="2051" width="9.875" style="3" customWidth="1"/>
    <col min="2052" max="2052" width="10.875" style="3" customWidth="1"/>
    <col min="2053" max="2053" width="10.5" style="3" customWidth="1"/>
    <col min="2054" max="2054" width="11" style="3" customWidth="1"/>
    <col min="2055" max="2055" width="9" style="3"/>
    <col min="2056" max="2056" width="10.625" style="3" customWidth="1"/>
    <col min="2057" max="2057" width="10" style="3" customWidth="1"/>
    <col min="2058" max="2058" width="9.875" style="3" customWidth="1"/>
    <col min="2059" max="2059" width="10.875" style="3" customWidth="1"/>
    <col min="2060" max="2060" width="10.5" style="3" customWidth="1"/>
    <col min="2061" max="2061" width="11" style="3" customWidth="1"/>
    <col min="2062" max="2062" width="9" style="3"/>
    <col min="2063" max="2063" width="10.625" style="3" customWidth="1"/>
    <col min="2064" max="2064" width="9" style="3"/>
    <col min="2065" max="2065" width="19.5" style="3" customWidth="1"/>
    <col min="2066" max="2066" width="16.75" style="3" customWidth="1"/>
    <col min="2067" max="2067" width="16.5" style="3" customWidth="1"/>
    <col min="2068" max="2304" width="9" style="3"/>
    <col min="2305" max="2305" width="1.875" style="3" customWidth="1"/>
    <col min="2306" max="2306" width="10" style="3" customWidth="1"/>
    <col min="2307" max="2307" width="9.875" style="3" customWidth="1"/>
    <col min="2308" max="2308" width="10.875" style="3" customWidth="1"/>
    <col min="2309" max="2309" width="10.5" style="3" customWidth="1"/>
    <col min="2310" max="2310" width="11" style="3" customWidth="1"/>
    <col min="2311" max="2311" width="9" style="3"/>
    <col min="2312" max="2312" width="10.625" style="3" customWidth="1"/>
    <col min="2313" max="2313" width="10" style="3" customWidth="1"/>
    <col min="2314" max="2314" width="9.875" style="3" customWidth="1"/>
    <col min="2315" max="2315" width="10.875" style="3" customWidth="1"/>
    <col min="2316" max="2316" width="10.5" style="3" customWidth="1"/>
    <col min="2317" max="2317" width="11" style="3" customWidth="1"/>
    <col min="2318" max="2318" width="9" style="3"/>
    <col min="2319" max="2319" width="10.625" style="3" customWidth="1"/>
    <col min="2320" max="2320" width="9" style="3"/>
    <col min="2321" max="2321" width="19.5" style="3" customWidth="1"/>
    <col min="2322" max="2322" width="16.75" style="3" customWidth="1"/>
    <col min="2323" max="2323" width="16.5" style="3" customWidth="1"/>
    <col min="2324" max="2560" width="9" style="3"/>
    <col min="2561" max="2561" width="1.875" style="3" customWidth="1"/>
    <col min="2562" max="2562" width="10" style="3" customWidth="1"/>
    <col min="2563" max="2563" width="9.875" style="3" customWidth="1"/>
    <col min="2564" max="2564" width="10.875" style="3" customWidth="1"/>
    <col min="2565" max="2565" width="10.5" style="3" customWidth="1"/>
    <col min="2566" max="2566" width="11" style="3" customWidth="1"/>
    <col min="2567" max="2567" width="9" style="3"/>
    <col min="2568" max="2568" width="10.625" style="3" customWidth="1"/>
    <col min="2569" max="2569" width="10" style="3" customWidth="1"/>
    <col min="2570" max="2570" width="9.875" style="3" customWidth="1"/>
    <col min="2571" max="2571" width="10.875" style="3" customWidth="1"/>
    <col min="2572" max="2572" width="10.5" style="3" customWidth="1"/>
    <col min="2573" max="2573" width="11" style="3" customWidth="1"/>
    <col min="2574" max="2574" width="9" style="3"/>
    <col min="2575" max="2575" width="10.625" style="3" customWidth="1"/>
    <col min="2576" max="2576" width="9" style="3"/>
    <col min="2577" max="2577" width="19.5" style="3" customWidth="1"/>
    <col min="2578" max="2578" width="16.75" style="3" customWidth="1"/>
    <col min="2579" max="2579" width="16.5" style="3" customWidth="1"/>
    <col min="2580" max="2816" width="9" style="3"/>
    <col min="2817" max="2817" width="1.875" style="3" customWidth="1"/>
    <col min="2818" max="2818" width="10" style="3" customWidth="1"/>
    <col min="2819" max="2819" width="9.875" style="3" customWidth="1"/>
    <col min="2820" max="2820" width="10.875" style="3" customWidth="1"/>
    <col min="2821" max="2821" width="10.5" style="3" customWidth="1"/>
    <col min="2822" max="2822" width="11" style="3" customWidth="1"/>
    <col min="2823" max="2823" width="9" style="3"/>
    <col min="2824" max="2824" width="10.625" style="3" customWidth="1"/>
    <col min="2825" max="2825" width="10" style="3" customWidth="1"/>
    <col min="2826" max="2826" width="9.875" style="3" customWidth="1"/>
    <col min="2827" max="2827" width="10.875" style="3" customWidth="1"/>
    <col min="2828" max="2828" width="10.5" style="3" customWidth="1"/>
    <col min="2829" max="2829" width="11" style="3" customWidth="1"/>
    <col min="2830" max="2830" width="9" style="3"/>
    <col min="2831" max="2831" width="10.625" style="3" customWidth="1"/>
    <col min="2832" max="2832" width="9" style="3"/>
    <col min="2833" max="2833" width="19.5" style="3" customWidth="1"/>
    <col min="2834" max="2834" width="16.75" style="3" customWidth="1"/>
    <col min="2835" max="2835" width="16.5" style="3" customWidth="1"/>
    <col min="2836" max="3072" width="9" style="3"/>
    <col min="3073" max="3073" width="1.875" style="3" customWidth="1"/>
    <col min="3074" max="3074" width="10" style="3" customWidth="1"/>
    <col min="3075" max="3075" width="9.875" style="3" customWidth="1"/>
    <col min="3076" max="3076" width="10.875" style="3" customWidth="1"/>
    <col min="3077" max="3077" width="10.5" style="3" customWidth="1"/>
    <col min="3078" max="3078" width="11" style="3" customWidth="1"/>
    <col min="3079" max="3079" width="9" style="3"/>
    <col min="3080" max="3080" width="10.625" style="3" customWidth="1"/>
    <col min="3081" max="3081" width="10" style="3" customWidth="1"/>
    <col min="3082" max="3082" width="9.875" style="3" customWidth="1"/>
    <col min="3083" max="3083" width="10.875" style="3" customWidth="1"/>
    <col min="3084" max="3084" width="10.5" style="3" customWidth="1"/>
    <col min="3085" max="3085" width="11" style="3" customWidth="1"/>
    <col min="3086" max="3086" width="9" style="3"/>
    <col min="3087" max="3087" width="10.625" style="3" customWidth="1"/>
    <col min="3088" max="3088" width="9" style="3"/>
    <col min="3089" max="3089" width="19.5" style="3" customWidth="1"/>
    <col min="3090" max="3090" width="16.75" style="3" customWidth="1"/>
    <col min="3091" max="3091" width="16.5" style="3" customWidth="1"/>
    <col min="3092" max="3328" width="9" style="3"/>
    <col min="3329" max="3329" width="1.875" style="3" customWidth="1"/>
    <col min="3330" max="3330" width="10" style="3" customWidth="1"/>
    <col min="3331" max="3331" width="9.875" style="3" customWidth="1"/>
    <col min="3332" max="3332" width="10.875" style="3" customWidth="1"/>
    <col min="3333" max="3333" width="10.5" style="3" customWidth="1"/>
    <col min="3334" max="3334" width="11" style="3" customWidth="1"/>
    <col min="3335" max="3335" width="9" style="3"/>
    <col min="3336" max="3336" width="10.625" style="3" customWidth="1"/>
    <col min="3337" max="3337" width="10" style="3" customWidth="1"/>
    <col min="3338" max="3338" width="9.875" style="3" customWidth="1"/>
    <col min="3339" max="3339" width="10.875" style="3" customWidth="1"/>
    <col min="3340" max="3340" width="10.5" style="3" customWidth="1"/>
    <col min="3341" max="3341" width="11" style="3" customWidth="1"/>
    <col min="3342" max="3342" width="9" style="3"/>
    <col min="3343" max="3343" width="10.625" style="3" customWidth="1"/>
    <col min="3344" max="3344" width="9" style="3"/>
    <col min="3345" max="3345" width="19.5" style="3" customWidth="1"/>
    <col min="3346" max="3346" width="16.75" style="3" customWidth="1"/>
    <col min="3347" max="3347" width="16.5" style="3" customWidth="1"/>
    <col min="3348" max="3584" width="9" style="3"/>
    <col min="3585" max="3585" width="1.875" style="3" customWidth="1"/>
    <col min="3586" max="3586" width="10" style="3" customWidth="1"/>
    <col min="3587" max="3587" width="9.875" style="3" customWidth="1"/>
    <col min="3588" max="3588" width="10.875" style="3" customWidth="1"/>
    <col min="3589" max="3589" width="10.5" style="3" customWidth="1"/>
    <col min="3590" max="3590" width="11" style="3" customWidth="1"/>
    <col min="3591" max="3591" width="9" style="3"/>
    <col min="3592" max="3592" width="10.625" style="3" customWidth="1"/>
    <col min="3593" max="3593" width="10" style="3" customWidth="1"/>
    <col min="3594" max="3594" width="9.875" style="3" customWidth="1"/>
    <col min="3595" max="3595" width="10.875" style="3" customWidth="1"/>
    <col min="3596" max="3596" width="10.5" style="3" customWidth="1"/>
    <col min="3597" max="3597" width="11" style="3" customWidth="1"/>
    <col min="3598" max="3598" width="9" style="3"/>
    <col min="3599" max="3599" width="10.625" style="3" customWidth="1"/>
    <col min="3600" max="3600" width="9" style="3"/>
    <col min="3601" max="3601" width="19.5" style="3" customWidth="1"/>
    <col min="3602" max="3602" width="16.75" style="3" customWidth="1"/>
    <col min="3603" max="3603" width="16.5" style="3" customWidth="1"/>
    <col min="3604" max="3840" width="9" style="3"/>
    <col min="3841" max="3841" width="1.875" style="3" customWidth="1"/>
    <col min="3842" max="3842" width="10" style="3" customWidth="1"/>
    <col min="3843" max="3843" width="9.875" style="3" customWidth="1"/>
    <col min="3844" max="3844" width="10.875" style="3" customWidth="1"/>
    <col min="3845" max="3845" width="10.5" style="3" customWidth="1"/>
    <col min="3846" max="3846" width="11" style="3" customWidth="1"/>
    <col min="3847" max="3847" width="9" style="3"/>
    <col min="3848" max="3848" width="10.625" style="3" customWidth="1"/>
    <col min="3849" max="3849" width="10" style="3" customWidth="1"/>
    <col min="3850" max="3850" width="9.875" style="3" customWidth="1"/>
    <col min="3851" max="3851" width="10.875" style="3" customWidth="1"/>
    <col min="3852" max="3852" width="10.5" style="3" customWidth="1"/>
    <col min="3853" max="3853" width="11" style="3" customWidth="1"/>
    <col min="3854" max="3854" width="9" style="3"/>
    <col min="3855" max="3855" width="10.625" style="3" customWidth="1"/>
    <col min="3856" max="3856" width="9" style="3"/>
    <col min="3857" max="3857" width="19.5" style="3" customWidth="1"/>
    <col min="3858" max="3858" width="16.75" style="3" customWidth="1"/>
    <col min="3859" max="3859" width="16.5" style="3" customWidth="1"/>
    <col min="3860" max="4096" width="9" style="3"/>
    <col min="4097" max="4097" width="1.875" style="3" customWidth="1"/>
    <col min="4098" max="4098" width="10" style="3" customWidth="1"/>
    <col min="4099" max="4099" width="9.875" style="3" customWidth="1"/>
    <col min="4100" max="4100" width="10.875" style="3" customWidth="1"/>
    <col min="4101" max="4101" width="10.5" style="3" customWidth="1"/>
    <col min="4102" max="4102" width="11" style="3" customWidth="1"/>
    <col min="4103" max="4103" width="9" style="3"/>
    <col min="4104" max="4104" width="10.625" style="3" customWidth="1"/>
    <col min="4105" max="4105" width="10" style="3" customWidth="1"/>
    <col min="4106" max="4106" width="9.875" style="3" customWidth="1"/>
    <col min="4107" max="4107" width="10.875" style="3" customWidth="1"/>
    <col min="4108" max="4108" width="10.5" style="3" customWidth="1"/>
    <col min="4109" max="4109" width="11" style="3" customWidth="1"/>
    <col min="4110" max="4110" width="9" style="3"/>
    <col min="4111" max="4111" width="10.625" style="3" customWidth="1"/>
    <col min="4112" max="4112" width="9" style="3"/>
    <col min="4113" max="4113" width="19.5" style="3" customWidth="1"/>
    <col min="4114" max="4114" width="16.75" style="3" customWidth="1"/>
    <col min="4115" max="4115" width="16.5" style="3" customWidth="1"/>
    <col min="4116" max="4352" width="9" style="3"/>
    <col min="4353" max="4353" width="1.875" style="3" customWidth="1"/>
    <col min="4354" max="4354" width="10" style="3" customWidth="1"/>
    <col min="4355" max="4355" width="9.875" style="3" customWidth="1"/>
    <col min="4356" max="4356" width="10.875" style="3" customWidth="1"/>
    <col min="4357" max="4357" width="10.5" style="3" customWidth="1"/>
    <col min="4358" max="4358" width="11" style="3" customWidth="1"/>
    <col min="4359" max="4359" width="9" style="3"/>
    <col min="4360" max="4360" width="10.625" style="3" customWidth="1"/>
    <col min="4361" max="4361" width="10" style="3" customWidth="1"/>
    <col min="4362" max="4362" width="9.875" style="3" customWidth="1"/>
    <col min="4363" max="4363" width="10.875" style="3" customWidth="1"/>
    <col min="4364" max="4364" width="10.5" style="3" customWidth="1"/>
    <col min="4365" max="4365" width="11" style="3" customWidth="1"/>
    <col min="4366" max="4366" width="9" style="3"/>
    <col min="4367" max="4367" width="10.625" style="3" customWidth="1"/>
    <col min="4368" max="4368" width="9" style="3"/>
    <col min="4369" max="4369" width="19.5" style="3" customWidth="1"/>
    <col min="4370" max="4370" width="16.75" style="3" customWidth="1"/>
    <col min="4371" max="4371" width="16.5" style="3" customWidth="1"/>
    <col min="4372" max="4608" width="9" style="3"/>
    <col min="4609" max="4609" width="1.875" style="3" customWidth="1"/>
    <col min="4610" max="4610" width="10" style="3" customWidth="1"/>
    <col min="4611" max="4611" width="9.875" style="3" customWidth="1"/>
    <col min="4612" max="4612" width="10.875" style="3" customWidth="1"/>
    <col min="4613" max="4613" width="10.5" style="3" customWidth="1"/>
    <col min="4614" max="4614" width="11" style="3" customWidth="1"/>
    <col min="4615" max="4615" width="9" style="3"/>
    <col min="4616" max="4616" width="10.625" style="3" customWidth="1"/>
    <col min="4617" max="4617" width="10" style="3" customWidth="1"/>
    <col min="4618" max="4618" width="9.875" style="3" customWidth="1"/>
    <col min="4619" max="4619" width="10.875" style="3" customWidth="1"/>
    <col min="4620" max="4620" width="10.5" style="3" customWidth="1"/>
    <col min="4621" max="4621" width="11" style="3" customWidth="1"/>
    <col min="4622" max="4622" width="9" style="3"/>
    <col min="4623" max="4623" width="10.625" style="3" customWidth="1"/>
    <col min="4624" max="4624" width="9" style="3"/>
    <col min="4625" max="4625" width="19.5" style="3" customWidth="1"/>
    <col min="4626" max="4626" width="16.75" style="3" customWidth="1"/>
    <col min="4627" max="4627" width="16.5" style="3" customWidth="1"/>
    <col min="4628" max="4864" width="9" style="3"/>
    <col min="4865" max="4865" width="1.875" style="3" customWidth="1"/>
    <col min="4866" max="4866" width="10" style="3" customWidth="1"/>
    <col min="4867" max="4867" width="9.875" style="3" customWidth="1"/>
    <col min="4868" max="4868" width="10.875" style="3" customWidth="1"/>
    <col min="4869" max="4869" width="10.5" style="3" customWidth="1"/>
    <col min="4870" max="4870" width="11" style="3" customWidth="1"/>
    <col min="4871" max="4871" width="9" style="3"/>
    <col min="4872" max="4872" width="10.625" style="3" customWidth="1"/>
    <col min="4873" max="4873" width="10" style="3" customWidth="1"/>
    <col min="4874" max="4874" width="9.875" style="3" customWidth="1"/>
    <col min="4875" max="4875" width="10.875" style="3" customWidth="1"/>
    <col min="4876" max="4876" width="10.5" style="3" customWidth="1"/>
    <col min="4877" max="4877" width="11" style="3" customWidth="1"/>
    <col min="4878" max="4878" width="9" style="3"/>
    <col min="4879" max="4879" width="10.625" style="3" customWidth="1"/>
    <col min="4880" max="4880" width="9" style="3"/>
    <col min="4881" max="4881" width="19.5" style="3" customWidth="1"/>
    <col min="4882" max="4882" width="16.75" style="3" customWidth="1"/>
    <col min="4883" max="4883" width="16.5" style="3" customWidth="1"/>
    <col min="4884" max="5120" width="9" style="3"/>
    <col min="5121" max="5121" width="1.875" style="3" customWidth="1"/>
    <col min="5122" max="5122" width="10" style="3" customWidth="1"/>
    <col min="5123" max="5123" width="9.875" style="3" customWidth="1"/>
    <col min="5124" max="5124" width="10.875" style="3" customWidth="1"/>
    <col min="5125" max="5125" width="10.5" style="3" customWidth="1"/>
    <col min="5126" max="5126" width="11" style="3" customWidth="1"/>
    <col min="5127" max="5127" width="9" style="3"/>
    <col min="5128" max="5128" width="10.625" style="3" customWidth="1"/>
    <col min="5129" max="5129" width="10" style="3" customWidth="1"/>
    <col min="5130" max="5130" width="9.875" style="3" customWidth="1"/>
    <col min="5131" max="5131" width="10.875" style="3" customWidth="1"/>
    <col min="5132" max="5132" width="10.5" style="3" customWidth="1"/>
    <col min="5133" max="5133" width="11" style="3" customWidth="1"/>
    <col min="5134" max="5134" width="9" style="3"/>
    <col min="5135" max="5135" width="10.625" style="3" customWidth="1"/>
    <col min="5136" max="5136" width="9" style="3"/>
    <col min="5137" max="5137" width="19.5" style="3" customWidth="1"/>
    <col min="5138" max="5138" width="16.75" style="3" customWidth="1"/>
    <col min="5139" max="5139" width="16.5" style="3" customWidth="1"/>
    <col min="5140" max="5376" width="9" style="3"/>
    <col min="5377" max="5377" width="1.875" style="3" customWidth="1"/>
    <col min="5378" max="5378" width="10" style="3" customWidth="1"/>
    <col min="5379" max="5379" width="9.875" style="3" customWidth="1"/>
    <col min="5380" max="5380" width="10.875" style="3" customWidth="1"/>
    <col min="5381" max="5381" width="10.5" style="3" customWidth="1"/>
    <col min="5382" max="5382" width="11" style="3" customWidth="1"/>
    <col min="5383" max="5383" width="9" style="3"/>
    <col min="5384" max="5384" width="10.625" style="3" customWidth="1"/>
    <col min="5385" max="5385" width="10" style="3" customWidth="1"/>
    <col min="5386" max="5386" width="9.875" style="3" customWidth="1"/>
    <col min="5387" max="5387" width="10.875" style="3" customWidth="1"/>
    <col min="5388" max="5388" width="10.5" style="3" customWidth="1"/>
    <col min="5389" max="5389" width="11" style="3" customWidth="1"/>
    <col min="5390" max="5390" width="9" style="3"/>
    <col min="5391" max="5391" width="10.625" style="3" customWidth="1"/>
    <col min="5392" max="5392" width="9" style="3"/>
    <col min="5393" max="5393" width="19.5" style="3" customWidth="1"/>
    <col min="5394" max="5394" width="16.75" style="3" customWidth="1"/>
    <col min="5395" max="5395" width="16.5" style="3" customWidth="1"/>
    <col min="5396" max="5632" width="9" style="3"/>
    <col min="5633" max="5633" width="1.875" style="3" customWidth="1"/>
    <col min="5634" max="5634" width="10" style="3" customWidth="1"/>
    <col min="5635" max="5635" width="9.875" style="3" customWidth="1"/>
    <col min="5636" max="5636" width="10.875" style="3" customWidth="1"/>
    <col min="5637" max="5637" width="10.5" style="3" customWidth="1"/>
    <col min="5638" max="5638" width="11" style="3" customWidth="1"/>
    <col min="5639" max="5639" width="9" style="3"/>
    <col min="5640" max="5640" width="10.625" style="3" customWidth="1"/>
    <col min="5641" max="5641" width="10" style="3" customWidth="1"/>
    <col min="5642" max="5642" width="9.875" style="3" customWidth="1"/>
    <col min="5643" max="5643" width="10.875" style="3" customWidth="1"/>
    <col min="5644" max="5644" width="10.5" style="3" customWidth="1"/>
    <col min="5645" max="5645" width="11" style="3" customWidth="1"/>
    <col min="5646" max="5646" width="9" style="3"/>
    <col min="5647" max="5647" width="10.625" style="3" customWidth="1"/>
    <col min="5648" max="5648" width="9" style="3"/>
    <col min="5649" max="5649" width="19.5" style="3" customWidth="1"/>
    <col min="5650" max="5650" width="16.75" style="3" customWidth="1"/>
    <col min="5651" max="5651" width="16.5" style="3" customWidth="1"/>
    <col min="5652" max="5888" width="9" style="3"/>
    <col min="5889" max="5889" width="1.875" style="3" customWidth="1"/>
    <col min="5890" max="5890" width="10" style="3" customWidth="1"/>
    <col min="5891" max="5891" width="9.875" style="3" customWidth="1"/>
    <col min="5892" max="5892" width="10.875" style="3" customWidth="1"/>
    <col min="5893" max="5893" width="10.5" style="3" customWidth="1"/>
    <col min="5894" max="5894" width="11" style="3" customWidth="1"/>
    <col min="5895" max="5895" width="9" style="3"/>
    <col min="5896" max="5896" width="10.625" style="3" customWidth="1"/>
    <col min="5897" max="5897" width="10" style="3" customWidth="1"/>
    <col min="5898" max="5898" width="9.875" style="3" customWidth="1"/>
    <col min="5899" max="5899" width="10.875" style="3" customWidth="1"/>
    <col min="5900" max="5900" width="10.5" style="3" customWidth="1"/>
    <col min="5901" max="5901" width="11" style="3" customWidth="1"/>
    <col min="5902" max="5902" width="9" style="3"/>
    <col min="5903" max="5903" width="10.625" style="3" customWidth="1"/>
    <col min="5904" max="5904" width="9" style="3"/>
    <col min="5905" max="5905" width="19.5" style="3" customWidth="1"/>
    <col min="5906" max="5906" width="16.75" style="3" customWidth="1"/>
    <col min="5907" max="5907" width="16.5" style="3" customWidth="1"/>
    <col min="5908" max="6144" width="9" style="3"/>
    <col min="6145" max="6145" width="1.875" style="3" customWidth="1"/>
    <col min="6146" max="6146" width="10" style="3" customWidth="1"/>
    <col min="6147" max="6147" width="9.875" style="3" customWidth="1"/>
    <col min="6148" max="6148" width="10.875" style="3" customWidth="1"/>
    <col min="6149" max="6149" width="10.5" style="3" customWidth="1"/>
    <col min="6150" max="6150" width="11" style="3" customWidth="1"/>
    <col min="6151" max="6151" width="9" style="3"/>
    <col min="6152" max="6152" width="10.625" style="3" customWidth="1"/>
    <col min="6153" max="6153" width="10" style="3" customWidth="1"/>
    <col min="6154" max="6154" width="9.875" style="3" customWidth="1"/>
    <col min="6155" max="6155" width="10.875" style="3" customWidth="1"/>
    <col min="6156" max="6156" width="10.5" style="3" customWidth="1"/>
    <col min="6157" max="6157" width="11" style="3" customWidth="1"/>
    <col min="6158" max="6158" width="9" style="3"/>
    <col min="6159" max="6159" width="10.625" style="3" customWidth="1"/>
    <col min="6160" max="6160" width="9" style="3"/>
    <col min="6161" max="6161" width="19.5" style="3" customWidth="1"/>
    <col min="6162" max="6162" width="16.75" style="3" customWidth="1"/>
    <col min="6163" max="6163" width="16.5" style="3" customWidth="1"/>
    <col min="6164" max="6400" width="9" style="3"/>
    <col min="6401" max="6401" width="1.875" style="3" customWidth="1"/>
    <col min="6402" max="6402" width="10" style="3" customWidth="1"/>
    <col min="6403" max="6403" width="9.875" style="3" customWidth="1"/>
    <col min="6404" max="6404" width="10.875" style="3" customWidth="1"/>
    <col min="6405" max="6405" width="10.5" style="3" customWidth="1"/>
    <col min="6406" max="6406" width="11" style="3" customWidth="1"/>
    <col min="6407" max="6407" width="9" style="3"/>
    <col min="6408" max="6408" width="10.625" style="3" customWidth="1"/>
    <col min="6409" max="6409" width="10" style="3" customWidth="1"/>
    <col min="6410" max="6410" width="9.875" style="3" customWidth="1"/>
    <col min="6411" max="6411" width="10.875" style="3" customWidth="1"/>
    <col min="6412" max="6412" width="10.5" style="3" customWidth="1"/>
    <col min="6413" max="6413" width="11" style="3" customWidth="1"/>
    <col min="6414" max="6414" width="9" style="3"/>
    <col min="6415" max="6415" width="10.625" style="3" customWidth="1"/>
    <col min="6416" max="6416" width="9" style="3"/>
    <col min="6417" max="6417" width="19.5" style="3" customWidth="1"/>
    <col min="6418" max="6418" width="16.75" style="3" customWidth="1"/>
    <col min="6419" max="6419" width="16.5" style="3" customWidth="1"/>
    <col min="6420" max="6656" width="9" style="3"/>
    <col min="6657" max="6657" width="1.875" style="3" customWidth="1"/>
    <col min="6658" max="6658" width="10" style="3" customWidth="1"/>
    <col min="6659" max="6659" width="9.875" style="3" customWidth="1"/>
    <col min="6660" max="6660" width="10.875" style="3" customWidth="1"/>
    <col min="6661" max="6661" width="10.5" style="3" customWidth="1"/>
    <col min="6662" max="6662" width="11" style="3" customWidth="1"/>
    <col min="6663" max="6663" width="9" style="3"/>
    <col min="6664" max="6664" width="10.625" style="3" customWidth="1"/>
    <col min="6665" max="6665" width="10" style="3" customWidth="1"/>
    <col min="6666" max="6666" width="9.875" style="3" customWidth="1"/>
    <col min="6667" max="6667" width="10.875" style="3" customWidth="1"/>
    <col min="6668" max="6668" width="10.5" style="3" customWidth="1"/>
    <col min="6669" max="6669" width="11" style="3" customWidth="1"/>
    <col min="6670" max="6670" width="9" style="3"/>
    <col min="6671" max="6671" width="10.625" style="3" customWidth="1"/>
    <col min="6672" max="6672" width="9" style="3"/>
    <col min="6673" max="6673" width="19.5" style="3" customWidth="1"/>
    <col min="6674" max="6674" width="16.75" style="3" customWidth="1"/>
    <col min="6675" max="6675" width="16.5" style="3" customWidth="1"/>
    <col min="6676" max="6912" width="9" style="3"/>
    <col min="6913" max="6913" width="1.875" style="3" customWidth="1"/>
    <col min="6914" max="6914" width="10" style="3" customWidth="1"/>
    <col min="6915" max="6915" width="9.875" style="3" customWidth="1"/>
    <col min="6916" max="6916" width="10.875" style="3" customWidth="1"/>
    <col min="6917" max="6917" width="10.5" style="3" customWidth="1"/>
    <col min="6918" max="6918" width="11" style="3" customWidth="1"/>
    <col min="6919" max="6919" width="9" style="3"/>
    <col min="6920" max="6920" width="10.625" style="3" customWidth="1"/>
    <col min="6921" max="6921" width="10" style="3" customWidth="1"/>
    <col min="6922" max="6922" width="9.875" style="3" customWidth="1"/>
    <col min="6923" max="6923" width="10.875" style="3" customWidth="1"/>
    <col min="6924" max="6924" width="10.5" style="3" customWidth="1"/>
    <col min="6925" max="6925" width="11" style="3" customWidth="1"/>
    <col min="6926" max="6926" width="9" style="3"/>
    <col min="6927" max="6927" width="10.625" style="3" customWidth="1"/>
    <col min="6928" max="6928" width="9" style="3"/>
    <col min="6929" max="6929" width="19.5" style="3" customWidth="1"/>
    <col min="6930" max="6930" width="16.75" style="3" customWidth="1"/>
    <col min="6931" max="6931" width="16.5" style="3" customWidth="1"/>
    <col min="6932" max="7168" width="9" style="3"/>
    <col min="7169" max="7169" width="1.875" style="3" customWidth="1"/>
    <col min="7170" max="7170" width="10" style="3" customWidth="1"/>
    <col min="7171" max="7171" width="9.875" style="3" customWidth="1"/>
    <col min="7172" max="7172" width="10.875" style="3" customWidth="1"/>
    <col min="7173" max="7173" width="10.5" style="3" customWidth="1"/>
    <col min="7174" max="7174" width="11" style="3" customWidth="1"/>
    <col min="7175" max="7175" width="9" style="3"/>
    <col min="7176" max="7176" width="10.625" style="3" customWidth="1"/>
    <col min="7177" max="7177" width="10" style="3" customWidth="1"/>
    <col min="7178" max="7178" width="9.875" style="3" customWidth="1"/>
    <col min="7179" max="7179" width="10.875" style="3" customWidth="1"/>
    <col min="7180" max="7180" width="10.5" style="3" customWidth="1"/>
    <col min="7181" max="7181" width="11" style="3" customWidth="1"/>
    <col min="7182" max="7182" width="9" style="3"/>
    <col min="7183" max="7183" width="10.625" style="3" customWidth="1"/>
    <col min="7184" max="7184" width="9" style="3"/>
    <col min="7185" max="7185" width="19.5" style="3" customWidth="1"/>
    <col min="7186" max="7186" width="16.75" style="3" customWidth="1"/>
    <col min="7187" max="7187" width="16.5" style="3" customWidth="1"/>
    <col min="7188" max="7424" width="9" style="3"/>
    <col min="7425" max="7425" width="1.875" style="3" customWidth="1"/>
    <col min="7426" max="7426" width="10" style="3" customWidth="1"/>
    <col min="7427" max="7427" width="9.875" style="3" customWidth="1"/>
    <col min="7428" max="7428" width="10.875" style="3" customWidth="1"/>
    <col min="7429" max="7429" width="10.5" style="3" customWidth="1"/>
    <col min="7430" max="7430" width="11" style="3" customWidth="1"/>
    <col min="7431" max="7431" width="9" style="3"/>
    <col min="7432" max="7432" width="10.625" style="3" customWidth="1"/>
    <col min="7433" max="7433" width="10" style="3" customWidth="1"/>
    <col min="7434" max="7434" width="9.875" style="3" customWidth="1"/>
    <col min="7435" max="7435" width="10.875" style="3" customWidth="1"/>
    <col min="7436" max="7436" width="10.5" style="3" customWidth="1"/>
    <col min="7437" max="7437" width="11" style="3" customWidth="1"/>
    <col min="7438" max="7438" width="9" style="3"/>
    <col min="7439" max="7439" width="10.625" style="3" customWidth="1"/>
    <col min="7440" max="7440" width="9" style="3"/>
    <col min="7441" max="7441" width="19.5" style="3" customWidth="1"/>
    <col min="7442" max="7442" width="16.75" style="3" customWidth="1"/>
    <col min="7443" max="7443" width="16.5" style="3" customWidth="1"/>
    <col min="7444" max="7680" width="9" style="3"/>
    <col min="7681" max="7681" width="1.875" style="3" customWidth="1"/>
    <col min="7682" max="7682" width="10" style="3" customWidth="1"/>
    <col min="7683" max="7683" width="9.875" style="3" customWidth="1"/>
    <col min="7684" max="7684" width="10.875" style="3" customWidth="1"/>
    <col min="7685" max="7685" width="10.5" style="3" customWidth="1"/>
    <col min="7686" max="7686" width="11" style="3" customWidth="1"/>
    <col min="7687" max="7687" width="9" style="3"/>
    <col min="7688" max="7688" width="10.625" style="3" customWidth="1"/>
    <col min="7689" max="7689" width="10" style="3" customWidth="1"/>
    <col min="7690" max="7690" width="9.875" style="3" customWidth="1"/>
    <col min="7691" max="7691" width="10.875" style="3" customWidth="1"/>
    <col min="7692" max="7692" width="10.5" style="3" customWidth="1"/>
    <col min="7693" max="7693" width="11" style="3" customWidth="1"/>
    <col min="7694" max="7694" width="9" style="3"/>
    <col min="7695" max="7695" width="10.625" style="3" customWidth="1"/>
    <col min="7696" max="7696" width="9" style="3"/>
    <col min="7697" max="7697" width="19.5" style="3" customWidth="1"/>
    <col min="7698" max="7698" width="16.75" style="3" customWidth="1"/>
    <col min="7699" max="7699" width="16.5" style="3" customWidth="1"/>
    <col min="7700" max="7936" width="9" style="3"/>
    <col min="7937" max="7937" width="1.875" style="3" customWidth="1"/>
    <col min="7938" max="7938" width="10" style="3" customWidth="1"/>
    <col min="7939" max="7939" width="9.875" style="3" customWidth="1"/>
    <col min="7940" max="7940" width="10.875" style="3" customWidth="1"/>
    <col min="7941" max="7941" width="10.5" style="3" customWidth="1"/>
    <col min="7942" max="7942" width="11" style="3" customWidth="1"/>
    <col min="7943" max="7943" width="9" style="3"/>
    <col min="7944" max="7944" width="10.625" style="3" customWidth="1"/>
    <col min="7945" max="7945" width="10" style="3" customWidth="1"/>
    <col min="7946" max="7946" width="9.875" style="3" customWidth="1"/>
    <col min="7947" max="7947" width="10.875" style="3" customWidth="1"/>
    <col min="7948" max="7948" width="10.5" style="3" customWidth="1"/>
    <col min="7949" max="7949" width="11" style="3" customWidth="1"/>
    <col min="7950" max="7950" width="9" style="3"/>
    <col min="7951" max="7951" width="10.625" style="3" customWidth="1"/>
    <col min="7952" max="7952" width="9" style="3"/>
    <col min="7953" max="7953" width="19.5" style="3" customWidth="1"/>
    <col min="7954" max="7954" width="16.75" style="3" customWidth="1"/>
    <col min="7955" max="7955" width="16.5" style="3" customWidth="1"/>
    <col min="7956" max="8192" width="9" style="3"/>
    <col min="8193" max="8193" width="1.875" style="3" customWidth="1"/>
    <col min="8194" max="8194" width="10" style="3" customWidth="1"/>
    <col min="8195" max="8195" width="9.875" style="3" customWidth="1"/>
    <col min="8196" max="8196" width="10.875" style="3" customWidth="1"/>
    <col min="8197" max="8197" width="10.5" style="3" customWidth="1"/>
    <col min="8198" max="8198" width="11" style="3" customWidth="1"/>
    <col min="8199" max="8199" width="9" style="3"/>
    <col min="8200" max="8200" width="10.625" style="3" customWidth="1"/>
    <col min="8201" max="8201" width="10" style="3" customWidth="1"/>
    <col min="8202" max="8202" width="9.875" style="3" customWidth="1"/>
    <col min="8203" max="8203" width="10.875" style="3" customWidth="1"/>
    <col min="8204" max="8204" width="10.5" style="3" customWidth="1"/>
    <col min="8205" max="8205" width="11" style="3" customWidth="1"/>
    <col min="8206" max="8206" width="9" style="3"/>
    <col min="8207" max="8207" width="10.625" style="3" customWidth="1"/>
    <col min="8208" max="8208" width="9" style="3"/>
    <col min="8209" max="8209" width="19.5" style="3" customWidth="1"/>
    <col min="8210" max="8210" width="16.75" style="3" customWidth="1"/>
    <col min="8211" max="8211" width="16.5" style="3" customWidth="1"/>
    <col min="8212" max="8448" width="9" style="3"/>
    <col min="8449" max="8449" width="1.875" style="3" customWidth="1"/>
    <col min="8450" max="8450" width="10" style="3" customWidth="1"/>
    <col min="8451" max="8451" width="9.875" style="3" customWidth="1"/>
    <col min="8452" max="8452" width="10.875" style="3" customWidth="1"/>
    <col min="8453" max="8453" width="10.5" style="3" customWidth="1"/>
    <col min="8454" max="8454" width="11" style="3" customWidth="1"/>
    <col min="8455" max="8455" width="9" style="3"/>
    <col min="8456" max="8456" width="10.625" style="3" customWidth="1"/>
    <col min="8457" max="8457" width="10" style="3" customWidth="1"/>
    <col min="8458" max="8458" width="9.875" style="3" customWidth="1"/>
    <col min="8459" max="8459" width="10.875" style="3" customWidth="1"/>
    <col min="8460" max="8460" width="10.5" style="3" customWidth="1"/>
    <col min="8461" max="8461" width="11" style="3" customWidth="1"/>
    <col min="8462" max="8462" width="9" style="3"/>
    <col min="8463" max="8463" width="10.625" style="3" customWidth="1"/>
    <col min="8464" max="8464" width="9" style="3"/>
    <col min="8465" max="8465" width="19.5" style="3" customWidth="1"/>
    <col min="8466" max="8466" width="16.75" style="3" customWidth="1"/>
    <col min="8467" max="8467" width="16.5" style="3" customWidth="1"/>
    <col min="8468" max="8704" width="9" style="3"/>
    <col min="8705" max="8705" width="1.875" style="3" customWidth="1"/>
    <col min="8706" max="8706" width="10" style="3" customWidth="1"/>
    <col min="8707" max="8707" width="9.875" style="3" customWidth="1"/>
    <col min="8708" max="8708" width="10.875" style="3" customWidth="1"/>
    <col min="8709" max="8709" width="10.5" style="3" customWidth="1"/>
    <col min="8710" max="8710" width="11" style="3" customWidth="1"/>
    <col min="8711" max="8711" width="9" style="3"/>
    <col min="8712" max="8712" width="10.625" style="3" customWidth="1"/>
    <col min="8713" max="8713" width="10" style="3" customWidth="1"/>
    <col min="8714" max="8714" width="9.875" style="3" customWidth="1"/>
    <col min="8715" max="8715" width="10.875" style="3" customWidth="1"/>
    <col min="8716" max="8716" width="10.5" style="3" customWidth="1"/>
    <col min="8717" max="8717" width="11" style="3" customWidth="1"/>
    <col min="8718" max="8718" width="9" style="3"/>
    <col min="8719" max="8719" width="10.625" style="3" customWidth="1"/>
    <col min="8720" max="8720" width="9" style="3"/>
    <col min="8721" max="8721" width="19.5" style="3" customWidth="1"/>
    <col min="8722" max="8722" width="16.75" style="3" customWidth="1"/>
    <col min="8723" max="8723" width="16.5" style="3" customWidth="1"/>
    <col min="8724" max="8960" width="9" style="3"/>
    <col min="8961" max="8961" width="1.875" style="3" customWidth="1"/>
    <col min="8962" max="8962" width="10" style="3" customWidth="1"/>
    <col min="8963" max="8963" width="9.875" style="3" customWidth="1"/>
    <col min="8964" max="8964" width="10.875" style="3" customWidth="1"/>
    <col min="8965" max="8965" width="10.5" style="3" customWidth="1"/>
    <col min="8966" max="8966" width="11" style="3" customWidth="1"/>
    <col min="8967" max="8967" width="9" style="3"/>
    <col min="8968" max="8968" width="10.625" style="3" customWidth="1"/>
    <col min="8969" max="8969" width="10" style="3" customWidth="1"/>
    <col min="8970" max="8970" width="9.875" style="3" customWidth="1"/>
    <col min="8971" max="8971" width="10.875" style="3" customWidth="1"/>
    <col min="8972" max="8972" width="10.5" style="3" customWidth="1"/>
    <col min="8973" max="8973" width="11" style="3" customWidth="1"/>
    <col min="8974" max="8974" width="9" style="3"/>
    <col min="8975" max="8975" width="10.625" style="3" customWidth="1"/>
    <col min="8976" max="8976" width="9" style="3"/>
    <col min="8977" max="8977" width="19.5" style="3" customWidth="1"/>
    <col min="8978" max="8978" width="16.75" style="3" customWidth="1"/>
    <col min="8979" max="8979" width="16.5" style="3" customWidth="1"/>
    <col min="8980" max="9216" width="9" style="3"/>
    <col min="9217" max="9217" width="1.875" style="3" customWidth="1"/>
    <col min="9218" max="9218" width="10" style="3" customWidth="1"/>
    <col min="9219" max="9219" width="9.875" style="3" customWidth="1"/>
    <col min="9220" max="9220" width="10.875" style="3" customWidth="1"/>
    <col min="9221" max="9221" width="10.5" style="3" customWidth="1"/>
    <col min="9222" max="9222" width="11" style="3" customWidth="1"/>
    <col min="9223" max="9223" width="9" style="3"/>
    <col min="9224" max="9224" width="10.625" style="3" customWidth="1"/>
    <col min="9225" max="9225" width="10" style="3" customWidth="1"/>
    <col min="9226" max="9226" width="9.875" style="3" customWidth="1"/>
    <col min="9227" max="9227" width="10.875" style="3" customWidth="1"/>
    <col min="9228" max="9228" width="10.5" style="3" customWidth="1"/>
    <col min="9229" max="9229" width="11" style="3" customWidth="1"/>
    <col min="9230" max="9230" width="9" style="3"/>
    <col min="9231" max="9231" width="10.625" style="3" customWidth="1"/>
    <col min="9232" max="9232" width="9" style="3"/>
    <col min="9233" max="9233" width="19.5" style="3" customWidth="1"/>
    <col min="9234" max="9234" width="16.75" style="3" customWidth="1"/>
    <col min="9235" max="9235" width="16.5" style="3" customWidth="1"/>
    <col min="9236" max="9472" width="9" style="3"/>
    <col min="9473" max="9473" width="1.875" style="3" customWidth="1"/>
    <col min="9474" max="9474" width="10" style="3" customWidth="1"/>
    <col min="9475" max="9475" width="9.875" style="3" customWidth="1"/>
    <col min="9476" max="9476" width="10.875" style="3" customWidth="1"/>
    <col min="9477" max="9477" width="10.5" style="3" customWidth="1"/>
    <col min="9478" max="9478" width="11" style="3" customWidth="1"/>
    <col min="9479" max="9479" width="9" style="3"/>
    <col min="9480" max="9480" width="10.625" style="3" customWidth="1"/>
    <col min="9481" max="9481" width="10" style="3" customWidth="1"/>
    <col min="9482" max="9482" width="9.875" style="3" customWidth="1"/>
    <col min="9483" max="9483" width="10.875" style="3" customWidth="1"/>
    <col min="9484" max="9484" width="10.5" style="3" customWidth="1"/>
    <col min="9485" max="9485" width="11" style="3" customWidth="1"/>
    <col min="9486" max="9486" width="9" style="3"/>
    <col min="9487" max="9487" width="10.625" style="3" customWidth="1"/>
    <col min="9488" max="9488" width="9" style="3"/>
    <col min="9489" max="9489" width="19.5" style="3" customWidth="1"/>
    <col min="9490" max="9490" width="16.75" style="3" customWidth="1"/>
    <col min="9491" max="9491" width="16.5" style="3" customWidth="1"/>
    <col min="9492" max="9728" width="9" style="3"/>
    <col min="9729" max="9729" width="1.875" style="3" customWidth="1"/>
    <col min="9730" max="9730" width="10" style="3" customWidth="1"/>
    <col min="9731" max="9731" width="9.875" style="3" customWidth="1"/>
    <col min="9732" max="9732" width="10.875" style="3" customWidth="1"/>
    <col min="9733" max="9733" width="10.5" style="3" customWidth="1"/>
    <col min="9734" max="9734" width="11" style="3" customWidth="1"/>
    <col min="9735" max="9735" width="9" style="3"/>
    <col min="9736" max="9736" width="10.625" style="3" customWidth="1"/>
    <col min="9737" max="9737" width="10" style="3" customWidth="1"/>
    <col min="9738" max="9738" width="9.875" style="3" customWidth="1"/>
    <col min="9739" max="9739" width="10.875" style="3" customWidth="1"/>
    <col min="9740" max="9740" width="10.5" style="3" customWidth="1"/>
    <col min="9741" max="9741" width="11" style="3" customWidth="1"/>
    <col min="9742" max="9742" width="9" style="3"/>
    <col min="9743" max="9743" width="10.625" style="3" customWidth="1"/>
    <col min="9744" max="9744" width="9" style="3"/>
    <col min="9745" max="9745" width="19.5" style="3" customWidth="1"/>
    <col min="9746" max="9746" width="16.75" style="3" customWidth="1"/>
    <col min="9747" max="9747" width="16.5" style="3" customWidth="1"/>
    <col min="9748" max="9984" width="9" style="3"/>
    <col min="9985" max="9985" width="1.875" style="3" customWidth="1"/>
    <col min="9986" max="9986" width="10" style="3" customWidth="1"/>
    <col min="9987" max="9987" width="9.875" style="3" customWidth="1"/>
    <col min="9988" max="9988" width="10.875" style="3" customWidth="1"/>
    <col min="9989" max="9989" width="10.5" style="3" customWidth="1"/>
    <col min="9990" max="9990" width="11" style="3" customWidth="1"/>
    <col min="9991" max="9991" width="9" style="3"/>
    <col min="9992" max="9992" width="10.625" style="3" customWidth="1"/>
    <col min="9993" max="9993" width="10" style="3" customWidth="1"/>
    <col min="9994" max="9994" width="9.875" style="3" customWidth="1"/>
    <col min="9995" max="9995" width="10.875" style="3" customWidth="1"/>
    <col min="9996" max="9996" width="10.5" style="3" customWidth="1"/>
    <col min="9997" max="9997" width="11" style="3" customWidth="1"/>
    <col min="9998" max="9998" width="9" style="3"/>
    <col min="9999" max="9999" width="10.625" style="3" customWidth="1"/>
    <col min="10000" max="10000" width="9" style="3"/>
    <col min="10001" max="10001" width="19.5" style="3" customWidth="1"/>
    <col min="10002" max="10002" width="16.75" style="3" customWidth="1"/>
    <col min="10003" max="10003" width="16.5" style="3" customWidth="1"/>
    <col min="10004" max="10240" width="9" style="3"/>
    <col min="10241" max="10241" width="1.875" style="3" customWidth="1"/>
    <col min="10242" max="10242" width="10" style="3" customWidth="1"/>
    <col min="10243" max="10243" width="9.875" style="3" customWidth="1"/>
    <col min="10244" max="10244" width="10.875" style="3" customWidth="1"/>
    <col min="10245" max="10245" width="10.5" style="3" customWidth="1"/>
    <col min="10246" max="10246" width="11" style="3" customWidth="1"/>
    <col min="10247" max="10247" width="9" style="3"/>
    <col min="10248" max="10248" width="10.625" style="3" customWidth="1"/>
    <col min="10249" max="10249" width="10" style="3" customWidth="1"/>
    <col min="10250" max="10250" width="9.875" style="3" customWidth="1"/>
    <col min="10251" max="10251" width="10.875" style="3" customWidth="1"/>
    <col min="10252" max="10252" width="10.5" style="3" customWidth="1"/>
    <col min="10253" max="10253" width="11" style="3" customWidth="1"/>
    <col min="10254" max="10254" width="9" style="3"/>
    <col min="10255" max="10255" width="10.625" style="3" customWidth="1"/>
    <col min="10256" max="10256" width="9" style="3"/>
    <col min="10257" max="10257" width="19.5" style="3" customWidth="1"/>
    <col min="10258" max="10258" width="16.75" style="3" customWidth="1"/>
    <col min="10259" max="10259" width="16.5" style="3" customWidth="1"/>
    <col min="10260" max="10496" width="9" style="3"/>
    <col min="10497" max="10497" width="1.875" style="3" customWidth="1"/>
    <col min="10498" max="10498" width="10" style="3" customWidth="1"/>
    <col min="10499" max="10499" width="9.875" style="3" customWidth="1"/>
    <col min="10500" max="10500" width="10.875" style="3" customWidth="1"/>
    <col min="10501" max="10501" width="10.5" style="3" customWidth="1"/>
    <col min="10502" max="10502" width="11" style="3" customWidth="1"/>
    <col min="10503" max="10503" width="9" style="3"/>
    <col min="10504" max="10504" width="10.625" style="3" customWidth="1"/>
    <col min="10505" max="10505" width="10" style="3" customWidth="1"/>
    <col min="10506" max="10506" width="9.875" style="3" customWidth="1"/>
    <col min="10507" max="10507" width="10.875" style="3" customWidth="1"/>
    <col min="10508" max="10508" width="10.5" style="3" customWidth="1"/>
    <col min="10509" max="10509" width="11" style="3" customWidth="1"/>
    <col min="10510" max="10510" width="9" style="3"/>
    <col min="10511" max="10511" width="10.625" style="3" customWidth="1"/>
    <col min="10512" max="10512" width="9" style="3"/>
    <col min="10513" max="10513" width="19.5" style="3" customWidth="1"/>
    <col min="10514" max="10514" width="16.75" style="3" customWidth="1"/>
    <col min="10515" max="10515" width="16.5" style="3" customWidth="1"/>
    <col min="10516" max="10752" width="9" style="3"/>
    <col min="10753" max="10753" width="1.875" style="3" customWidth="1"/>
    <col min="10754" max="10754" width="10" style="3" customWidth="1"/>
    <col min="10755" max="10755" width="9.875" style="3" customWidth="1"/>
    <col min="10756" max="10756" width="10.875" style="3" customWidth="1"/>
    <col min="10757" max="10757" width="10.5" style="3" customWidth="1"/>
    <col min="10758" max="10758" width="11" style="3" customWidth="1"/>
    <col min="10759" max="10759" width="9" style="3"/>
    <col min="10760" max="10760" width="10.625" style="3" customWidth="1"/>
    <col min="10761" max="10761" width="10" style="3" customWidth="1"/>
    <col min="10762" max="10762" width="9.875" style="3" customWidth="1"/>
    <col min="10763" max="10763" width="10.875" style="3" customWidth="1"/>
    <col min="10764" max="10764" width="10.5" style="3" customWidth="1"/>
    <col min="10765" max="10765" width="11" style="3" customWidth="1"/>
    <col min="10766" max="10766" width="9" style="3"/>
    <col min="10767" max="10767" width="10.625" style="3" customWidth="1"/>
    <col min="10768" max="10768" width="9" style="3"/>
    <col min="10769" max="10769" width="19.5" style="3" customWidth="1"/>
    <col min="10770" max="10770" width="16.75" style="3" customWidth="1"/>
    <col min="10771" max="10771" width="16.5" style="3" customWidth="1"/>
    <col min="10772" max="11008" width="9" style="3"/>
    <col min="11009" max="11009" width="1.875" style="3" customWidth="1"/>
    <col min="11010" max="11010" width="10" style="3" customWidth="1"/>
    <col min="11011" max="11011" width="9.875" style="3" customWidth="1"/>
    <col min="11012" max="11012" width="10.875" style="3" customWidth="1"/>
    <col min="11013" max="11013" width="10.5" style="3" customWidth="1"/>
    <col min="11014" max="11014" width="11" style="3" customWidth="1"/>
    <col min="11015" max="11015" width="9" style="3"/>
    <col min="11016" max="11016" width="10.625" style="3" customWidth="1"/>
    <col min="11017" max="11017" width="10" style="3" customWidth="1"/>
    <col min="11018" max="11018" width="9.875" style="3" customWidth="1"/>
    <col min="11019" max="11019" width="10.875" style="3" customWidth="1"/>
    <col min="11020" max="11020" width="10.5" style="3" customWidth="1"/>
    <col min="11021" max="11021" width="11" style="3" customWidth="1"/>
    <col min="11022" max="11022" width="9" style="3"/>
    <col min="11023" max="11023" width="10.625" style="3" customWidth="1"/>
    <col min="11024" max="11024" width="9" style="3"/>
    <col min="11025" max="11025" width="19.5" style="3" customWidth="1"/>
    <col min="11026" max="11026" width="16.75" style="3" customWidth="1"/>
    <col min="11027" max="11027" width="16.5" style="3" customWidth="1"/>
    <col min="11028" max="11264" width="9" style="3"/>
    <col min="11265" max="11265" width="1.875" style="3" customWidth="1"/>
    <col min="11266" max="11266" width="10" style="3" customWidth="1"/>
    <col min="11267" max="11267" width="9.875" style="3" customWidth="1"/>
    <col min="11268" max="11268" width="10.875" style="3" customWidth="1"/>
    <col min="11269" max="11269" width="10.5" style="3" customWidth="1"/>
    <col min="11270" max="11270" width="11" style="3" customWidth="1"/>
    <col min="11271" max="11271" width="9" style="3"/>
    <col min="11272" max="11272" width="10.625" style="3" customWidth="1"/>
    <col min="11273" max="11273" width="10" style="3" customWidth="1"/>
    <col min="11274" max="11274" width="9.875" style="3" customWidth="1"/>
    <col min="11275" max="11275" width="10.875" style="3" customWidth="1"/>
    <col min="11276" max="11276" width="10.5" style="3" customWidth="1"/>
    <col min="11277" max="11277" width="11" style="3" customWidth="1"/>
    <col min="11278" max="11278" width="9" style="3"/>
    <col min="11279" max="11279" width="10.625" style="3" customWidth="1"/>
    <col min="11280" max="11280" width="9" style="3"/>
    <col min="11281" max="11281" width="19.5" style="3" customWidth="1"/>
    <col min="11282" max="11282" width="16.75" style="3" customWidth="1"/>
    <col min="11283" max="11283" width="16.5" style="3" customWidth="1"/>
    <col min="11284" max="11520" width="9" style="3"/>
    <col min="11521" max="11521" width="1.875" style="3" customWidth="1"/>
    <col min="11522" max="11522" width="10" style="3" customWidth="1"/>
    <col min="11523" max="11523" width="9.875" style="3" customWidth="1"/>
    <col min="11524" max="11524" width="10.875" style="3" customWidth="1"/>
    <col min="11525" max="11525" width="10.5" style="3" customWidth="1"/>
    <col min="11526" max="11526" width="11" style="3" customWidth="1"/>
    <col min="11527" max="11527" width="9" style="3"/>
    <col min="11528" max="11528" width="10.625" style="3" customWidth="1"/>
    <col min="11529" max="11529" width="10" style="3" customWidth="1"/>
    <col min="11530" max="11530" width="9.875" style="3" customWidth="1"/>
    <col min="11531" max="11531" width="10.875" style="3" customWidth="1"/>
    <col min="11532" max="11532" width="10.5" style="3" customWidth="1"/>
    <col min="11533" max="11533" width="11" style="3" customWidth="1"/>
    <col min="11534" max="11534" width="9" style="3"/>
    <col min="11535" max="11535" width="10.625" style="3" customWidth="1"/>
    <col min="11536" max="11536" width="9" style="3"/>
    <col min="11537" max="11537" width="19.5" style="3" customWidth="1"/>
    <col min="11538" max="11538" width="16.75" style="3" customWidth="1"/>
    <col min="11539" max="11539" width="16.5" style="3" customWidth="1"/>
    <col min="11540" max="11776" width="9" style="3"/>
    <col min="11777" max="11777" width="1.875" style="3" customWidth="1"/>
    <col min="11778" max="11778" width="10" style="3" customWidth="1"/>
    <col min="11779" max="11779" width="9.875" style="3" customWidth="1"/>
    <col min="11780" max="11780" width="10.875" style="3" customWidth="1"/>
    <col min="11781" max="11781" width="10.5" style="3" customWidth="1"/>
    <col min="11782" max="11782" width="11" style="3" customWidth="1"/>
    <col min="11783" max="11783" width="9" style="3"/>
    <col min="11784" max="11784" width="10.625" style="3" customWidth="1"/>
    <col min="11785" max="11785" width="10" style="3" customWidth="1"/>
    <col min="11786" max="11786" width="9.875" style="3" customWidth="1"/>
    <col min="11787" max="11787" width="10.875" style="3" customWidth="1"/>
    <col min="11788" max="11788" width="10.5" style="3" customWidth="1"/>
    <col min="11789" max="11789" width="11" style="3" customWidth="1"/>
    <col min="11790" max="11790" width="9" style="3"/>
    <col min="11791" max="11791" width="10.625" style="3" customWidth="1"/>
    <col min="11792" max="11792" width="9" style="3"/>
    <col min="11793" max="11793" width="19.5" style="3" customWidth="1"/>
    <col min="11794" max="11794" width="16.75" style="3" customWidth="1"/>
    <col min="11795" max="11795" width="16.5" style="3" customWidth="1"/>
    <col min="11796" max="12032" width="9" style="3"/>
    <col min="12033" max="12033" width="1.875" style="3" customWidth="1"/>
    <col min="12034" max="12034" width="10" style="3" customWidth="1"/>
    <col min="12035" max="12035" width="9.875" style="3" customWidth="1"/>
    <col min="12036" max="12036" width="10.875" style="3" customWidth="1"/>
    <col min="12037" max="12037" width="10.5" style="3" customWidth="1"/>
    <col min="12038" max="12038" width="11" style="3" customWidth="1"/>
    <col min="12039" max="12039" width="9" style="3"/>
    <col min="12040" max="12040" width="10.625" style="3" customWidth="1"/>
    <col min="12041" max="12041" width="10" style="3" customWidth="1"/>
    <col min="12042" max="12042" width="9.875" style="3" customWidth="1"/>
    <col min="12043" max="12043" width="10.875" style="3" customWidth="1"/>
    <col min="12044" max="12044" width="10.5" style="3" customWidth="1"/>
    <col min="12045" max="12045" width="11" style="3" customWidth="1"/>
    <col min="12046" max="12046" width="9" style="3"/>
    <col min="12047" max="12047" width="10.625" style="3" customWidth="1"/>
    <col min="12048" max="12048" width="9" style="3"/>
    <col min="12049" max="12049" width="19.5" style="3" customWidth="1"/>
    <col min="12050" max="12050" width="16.75" style="3" customWidth="1"/>
    <col min="12051" max="12051" width="16.5" style="3" customWidth="1"/>
    <col min="12052" max="12288" width="9" style="3"/>
    <col min="12289" max="12289" width="1.875" style="3" customWidth="1"/>
    <col min="12290" max="12290" width="10" style="3" customWidth="1"/>
    <col min="12291" max="12291" width="9.875" style="3" customWidth="1"/>
    <col min="12292" max="12292" width="10.875" style="3" customWidth="1"/>
    <col min="12293" max="12293" width="10.5" style="3" customWidth="1"/>
    <col min="12294" max="12294" width="11" style="3" customWidth="1"/>
    <col min="12295" max="12295" width="9" style="3"/>
    <col min="12296" max="12296" width="10.625" style="3" customWidth="1"/>
    <col min="12297" max="12297" width="10" style="3" customWidth="1"/>
    <col min="12298" max="12298" width="9.875" style="3" customWidth="1"/>
    <col min="12299" max="12299" width="10.875" style="3" customWidth="1"/>
    <col min="12300" max="12300" width="10.5" style="3" customWidth="1"/>
    <col min="12301" max="12301" width="11" style="3" customWidth="1"/>
    <col min="12302" max="12302" width="9" style="3"/>
    <col min="12303" max="12303" width="10.625" style="3" customWidth="1"/>
    <col min="12304" max="12304" width="9" style="3"/>
    <col min="12305" max="12305" width="19.5" style="3" customWidth="1"/>
    <col min="12306" max="12306" width="16.75" style="3" customWidth="1"/>
    <col min="12307" max="12307" width="16.5" style="3" customWidth="1"/>
    <col min="12308" max="12544" width="9" style="3"/>
    <col min="12545" max="12545" width="1.875" style="3" customWidth="1"/>
    <col min="12546" max="12546" width="10" style="3" customWidth="1"/>
    <col min="12547" max="12547" width="9.875" style="3" customWidth="1"/>
    <col min="12548" max="12548" width="10.875" style="3" customWidth="1"/>
    <col min="12549" max="12549" width="10.5" style="3" customWidth="1"/>
    <col min="12550" max="12550" width="11" style="3" customWidth="1"/>
    <col min="12551" max="12551" width="9" style="3"/>
    <col min="12552" max="12552" width="10.625" style="3" customWidth="1"/>
    <col min="12553" max="12553" width="10" style="3" customWidth="1"/>
    <col min="12554" max="12554" width="9.875" style="3" customWidth="1"/>
    <col min="12555" max="12555" width="10.875" style="3" customWidth="1"/>
    <col min="12556" max="12556" width="10.5" style="3" customWidth="1"/>
    <col min="12557" max="12557" width="11" style="3" customWidth="1"/>
    <col min="12558" max="12558" width="9" style="3"/>
    <col min="12559" max="12559" width="10.625" style="3" customWidth="1"/>
    <col min="12560" max="12560" width="9" style="3"/>
    <col min="12561" max="12561" width="19.5" style="3" customWidth="1"/>
    <col min="12562" max="12562" width="16.75" style="3" customWidth="1"/>
    <col min="12563" max="12563" width="16.5" style="3" customWidth="1"/>
    <col min="12564" max="12800" width="9" style="3"/>
    <col min="12801" max="12801" width="1.875" style="3" customWidth="1"/>
    <col min="12802" max="12802" width="10" style="3" customWidth="1"/>
    <col min="12803" max="12803" width="9.875" style="3" customWidth="1"/>
    <col min="12804" max="12804" width="10.875" style="3" customWidth="1"/>
    <col min="12805" max="12805" width="10.5" style="3" customWidth="1"/>
    <col min="12806" max="12806" width="11" style="3" customWidth="1"/>
    <col min="12807" max="12807" width="9" style="3"/>
    <col min="12808" max="12808" width="10.625" style="3" customWidth="1"/>
    <col min="12809" max="12809" width="10" style="3" customWidth="1"/>
    <col min="12810" max="12810" width="9.875" style="3" customWidth="1"/>
    <col min="12811" max="12811" width="10.875" style="3" customWidth="1"/>
    <col min="12812" max="12812" width="10.5" style="3" customWidth="1"/>
    <col min="12813" max="12813" width="11" style="3" customWidth="1"/>
    <col min="12814" max="12814" width="9" style="3"/>
    <col min="12815" max="12815" width="10.625" style="3" customWidth="1"/>
    <col min="12816" max="12816" width="9" style="3"/>
    <col min="12817" max="12817" width="19.5" style="3" customWidth="1"/>
    <col min="12818" max="12818" width="16.75" style="3" customWidth="1"/>
    <col min="12819" max="12819" width="16.5" style="3" customWidth="1"/>
    <col min="12820" max="13056" width="9" style="3"/>
    <col min="13057" max="13057" width="1.875" style="3" customWidth="1"/>
    <col min="13058" max="13058" width="10" style="3" customWidth="1"/>
    <col min="13059" max="13059" width="9.875" style="3" customWidth="1"/>
    <col min="13060" max="13060" width="10.875" style="3" customWidth="1"/>
    <col min="13061" max="13061" width="10.5" style="3" customWidth="1"/>
    <col min="13062" max="13062" width="11" style="3" customWidth="1"/>
    <col min="13063" max="13063" width="9" style="3"/>
    <col min="13064" max="13064" width="10.625" style="3" customWidth="1"/>
    <col min="13065" max="13065" width="10" style="3" customWidth="1"/>
    <col min="13066" max="13066" width="9.875" style="3" customWidth="1"/>
    <col min="13067" max="13067" width="10.875" style="3" customWidth="1"/>
    <col min="13068" max="13068" width="10.5" style="3" customWidth="1"/>
    <col min="13069" max="13069" width="11" style="3" customWidth="1"/>
    <col min="13070" max="13070" width="9" style="3"/>
    <col min="13071" max="13071" width="10.625" style="3" customWidth="1"/>
    <col min="13072" max="13072" width="9" style="3"/>
    <col min="13073" max="13073" width="19.5" style="3" customWidth="1"/>
    <col min="13074" max="13074" width="16.75" style="3" customWidth="1"/>
    <col min="13075" max="13075" width="16.5" style="3" customWidth="1"/>
    <col min="13076" max="13312" width="9" style="3"/>
    <col min="13313" max="13313" width="1.875" style="3" customWidth="1"/>
    <col min="13314" max="13314" width="10" style="3" customWidth="1"/>
    <col min="13315" max="13315" width="9.875" style="3" customWidth="1"/>
    <col min="13316" max="13316" width="10.875" style="3" customWidth="1"/>
    <col min="13317" max="13317" width="10.5" style="3" customWidth="1"/>
    <col min="13318" max="13318" width="11" style="3" customWidth="1"/>
    <col min="13319" max="13319" width="9" style="3"/>
    <col min="13320" max="13320" width="10.625" style="3" customWidth="1"/>
    <col min="13321" max="13321" width="10" style="3" customWidth="1"/>
    <col min="13322" max="13322" width="9.875" style="3" customWidth="1"/>
    <col min="13323" max="13323" width="10.875" style="3" customWidth="1"/>
    <col min="13324" max="13324" width="10.5" style="3" customWidth="1"/>
    <col min="13325" max="13325" width="11" style="3" customWidth="1"/>
    <col min="13326" max="13326" width="9" style="3"/>
    <col min="13327" max="13327" width="10.625" style="3" customWidth="1"/>
    <col min="13328" max="13328" width="9" style="3"/>
    <col min="13329" max="13329" width="19.5" style="3" customWidth="1"/>
    <col min="13330" max="13330" width="16.75" style="3" customWidth="1"/>
    <col min="13331" max="13331" width="16.5" style="3" customWidth="1"/>
    <col min="13332" max="13568" width="9" style="3"/>
    <col min="13569" max="13569" width="1.875" style="3" customWidth="1"/>
    <col min="13570" max="13570" width="10" style="3" customWidth="1"/>
    <col min="13571" max="13571" width="9.875" style="3" customWidth="1"/>
    <col min="13572" max="13572" width="10.875" style="3" customWidth="1"/>
    <col min="13573" max="13573" width="10.5" style="3" customWidth="1"/>
    <col min="13574" max="13574" width="11" style="3" customWidth="1"/>
    <col min="13575" max="13575" width="9" style="3"/>
    <col min="13576" max="13576" width="10.625" style="3" customWidth="1"/>
    <col min="13577" max="13577" width="10" style="3" customWidth="1"/>
    <col min="13578" max="13578" width="9.875" style="3" customWidth="1"/>
    <col min="13579" max="13579" width="10.875" style="3" customWidth="1"/>
    <col min="13580" max="13580" width="10.5" style="3" customWidth="1"/>
    <col min="13581" max="13581" width="11" style="3" customWidth="1"/>
    <col min="13582" max="13582" width="9" style="3"/>
    <col min="13583" max="13583" width="10.625" style="3" customWidth="1"/>
    <col min="13584" max="13584" width="9" style="3"/>
    <col min="13585" max="13585" width="19.5" style="3" customWidth="1"/>
    <col min="13586" max="13586" width="16.75" style="3" customWidth="1"/>
    <col min="13587" max="13587" width="16.5" style="3" customWidth="1"/>
    <col min="13588" max="13824" width="9" style="3"/>
    <col min="13825" max="13825" width="1.875" style="3" customWidth="1"/>
    <col min="13826" max="13826" width="10" style="3" customWidth="1"/>
    <col min="13827" max="13827" width="9.875" style="3" customWidth="1"/>
    <col min="13828" max="13828" width="10.875" style="3" customWidth="1"/>
    <col min="13829" max="13829" width="10.5" style="3" customWidth="1"/>
    <col min="13830" max="13830" width="11" style="3" customWidth="1"/>
    <col min="13831" max="13831" width="9" style="3"/>
    <col min="13832" max="13832" width="10.625" style="3" customWidth="1"/>
    <col min="13833" max="13833" width="10" style="3" customWidth="1"/>
    <col min="13834" max="13834" width="9.875" style="3" customWidth="1"/>
    <col min="13835" max="13835" width="10.875" style="3" customWidth="1"/>
    <col min="13836" max="13836" width="10.5" style="3" customWidth="1"/>
    <col min="13837" max="13837" width="11" style="3" customWidth="1"/>
    <col min="13838" max="13838" width="9" style="3"/>
    <col min="13839" max="13839" width="10.625" style="3" customWidth="1"/>
    <col min="13840" max="13840" width="9" style="3"/>
    <col min="13841" max="13841" width="19.5" style="3" customWidth="1"/>
    <col min="13842" max="13842" width="16.75" style="3" customWidth="1"/>
    <col min="13843" max="13843" width="16.5" style="3" customWidth="1"/>
    <col min="13844" max="14080" width="9" style="3"/>
    <col min="14081" max="14081" width="1.875" style="3" customWidth="1"/>
    <col min="14082" max="14082" width="10" style="3" customWidth="1"/>
    <col min="14083" max="14083" width="9.875" style="3" customWidth="1"/>
    <col min="14084" max="14084" width="10.875" style="3" customWidth="1"/>
    <col min="14085" max="14085" width="10.5" style="3" customWidth="1"/>
    <col min="14086" max="14086" width="11" style="3" customWidth="1"/>
    <col min="14087" max="14087" width="9" style="3"/>
    <col min="14088" max="14088" width="10.625" style="3" customWidth="1"/>
    <col min="14089" max="14089" width="10" style="3" customWidth="1"/>
    <col min="14090" max="14090" width="9.875" style="3" customWidth="1"/>
    <col min="14091" max="14091" width="10.875" style="3" customWidth="1"/>
    <col min="14092" max="14092" width="10.5" style="3" customWidth="1"/>
    <col min="14093" max="14093" width="11" style="3" customWidth="1"/>
    <col min="14094" max="14094" width="9" style="3"/>
    <col min="14095" max="14095" width="10.625" style="3" customWidth="1"/>
    <col min="14096" max="14096" width="9" style="3"/>
    <col min="14097" max="14097" width="19.5" style="3" customWidth="1"/>
    <col min="14098" max="14098" width="16.75" style="3" customWidth="1"/>
    <col min="14099" max="14099" width="16.5" style="3" customWidth="1"/>
    <col min="14100" max="14336" width="9" style="3"/>
    <col min="14337" max="14337" width="1.875" style="3" customWidth="1"/>
    <col min="14338" max="14338" width="10" style="3" customWidth="1"/>
    <col min="14339" max="14339" width="9.875" style="3" customWidth="1"/>
    <col min="14340" max="14340" width="10.875" style="3" customWidth="1"/>
    <col min="14341" max="14341" width="10.5" style="3" customWidth="1"/>
    <col min="14342" max="14342" width="11" style="3" customWidth="1"/>
    <col min="14343" max="14343" width="9" style="3"/>
    <col min="14344" max="14344" width="10.625" style="3" customWidth="1"/>
    <col min="14345" max="14345" width="10" style="3" customWidth="1"/>
    <col min="14346" max="14346" width="9.875" style="3" customWidth="1"/>
    <col min="14347" max="14347" width="10.875" style="3" customWidth="1"/>
    <col min="14348" max="14348" width="10.5" style="3" customWidth="1"/>
    <col min="14349" max="14349" width="11" style="3" customWidth="1"/>
    <col min="14350" max="14350" width="9" style="3"/>
    <col min="14351" max="14351" width="10.625" style="3" customWidth="1"/>
    <col min="14352" max="14352" width="9" style="3"/>
    <col min="14353" max="14353" width="19.5" style="3" customWidth="1"/>
    <col min="14354" max="14354" width="16.75" style="3" customWidth="1"/>
    <col min="14355" max="14355" width="16.5" style="3" customWidth="1"/>
    <col min="14356" max="14592" width="9" style="3"/>
    <col min="14593" max="14593" width="1.875" style="3" customWidth="1"/>
    <col min="14594" max="14594" width="10" style="3" customWidth="1"/>
    <col min="14595" max="14595" width="9.875" style="3" customWidth="1"/>
    <col min="14596" max="14596" width="10.875" style="3" customWidth="1"/>
    <col min="14597" max="14597" width="10.5" style="3" customWidth="1"/>
    <col min="14598" max="14598" width="11" style="3" customWidth="1"/>
    <col min="14599" max="14599" width="9" style="3"/>
    <col min="14600" max="14600" width="10.625" style="3" customWidth="1"/>
    <col min="14601" max="14601" width="10" style="3" customWidth="1"/>
    <col min="14602" max="14602" width="9.875" style="3" customWidth="1"/>
    <col min="14603" max="14603" width="10.875" style="3" customWidth="1"/>
    <col min="14604" max="14604" width="10.5" style="3" customWidth="1"/>
    <col min="14605" max="14605" width="11" style="3" customWidth="1"/>
    <col min="14606" max="14606" width="9" style="3"/>
    <col min="14607" max="14607" width="10.625" style="3" customWidth="1"/>
    <col min="14608" max="14608" width="9" style="3"/>
    <col min="14609" max="14609" width="19.5" style="3" customWidth="1"/>
    <col min="14610" max="14610" width="16.75" style="3" customWidth="1"/>
    <col min="14611" max="14611" width="16.5" style="3" customWidth="1"/>
    <col min="14612" max="14848" width="9" style="3"/>
    <col min="14849" max="14849" width="1.875" style="3" customWidth="1"/>
    <col min="14850" max="14850" width="10" style="3" customWidth="1"/>
    <col min="14851" max="14851" width="9.875" style="3" customWidth="1"/>
    <col min="14852" max="14852" width="10.875" style="3" customWidth="1"/>
    <col min="14853" max="14853" width="10.5" style="3" customWidth="1"/>
    <col min="14854" max="14854" width="11" style="3" customWidth="1"/>
    <col min="14855" max="14855" width="9" style="3"/>
    <col min="14856" max="14856" width="10.625" style="3" customWidth="1"/>
    <col min="14857" max="14857" width="10" style="3" customWidth="1"/>
    <col min="14858" max="14858" width="9.875" style="3" customWidth="1"/>
    <col min="14859" max="14859" width="10.875" style="3" customWidth="1"/>
    <col min="14860" max="14860" width="10.5" style="3" customWidth="1"/>
    <col min="14861" max="14861" width="11" style="3" customWidth="1"/>
    <col min="14862" max="14862" width="9" style="3"/>
    <col min="14863" max="14863" width="10.625" style="3" customWidth="1"/>
    <col min="14864" max="14864" width="9" style="3"/>
    <col min="14865" max="14865" width="19.5" style="3" customWidth="1"/>
    <col min="14866" max="14866" width="16.75" style="3" customWidth="1"/>
    <col min="14867" max="14867" width="16.5" style="3" customWidth="1"/>
    <col min="14868" max="15104" width="9" style="3"/>
    <col min="15105" max="15105" width="1.875" style="3" customWidth="1"/>
    <col min="15106" max="15106" width="10" style="3" customWidth="1"/>
    <col min="15107" max="15107" width="9.875" style="3" customWidth="1"/>
    <col min="15108" max="15108" width="10.875" style="3" customWidth="1"/>
    <col min="15109" max="15109" width="10.5" style="3" customWidth="1"/>
    <col min="15110" max="15110" width="11" style="3" customWidth="1"/>
    <col min="15111" max="15111" width="9" style="3"/>
    <col min="15112" max="15112" width="10.625" style="3" customWidth="1"/>
    <col min="15113" max="15113" width="10" style="3" customWidth="1"/>
    <col min="15114" max="15114" width="9.875" style="3" customWidth="1"/>
    <col min="15115" max="15115" width="10.875" style="3" customWidth="1"/>
    <col min="15116" max="15116" width="10.5" style="3" customWidth="1"/>
    <col min="15117" max="15117" width="11" style="3" customWidth="1"/>
    <col min="15118" max="15118" width="9" style="3"/>
    <col min="15119" max="15119" width="10.625" style="3" customWidth="1"/>
    <col min="15120" max="15120" width="9" style="3"/>
    <col min="15121" max="15121" width="19.5" style="3" customWidth="1"/>
    <col min="15122" max="15122" width="16.75" style="3" customWidth="1"/>
    <col min="15123" max="15123" width="16.5" style="3" customWidth="1"/>
    <col min="15124" max="15360" width="9" style="3"/>
    <col min="15361" max="15361" width="1.875" style="3" customWidth="1"/>
    <col min="15362" max="15362" width="10" style="3" customWidth="1"/>
    <col min="15363" max="15363" width="9.875" style="3" customWidth="1"/>
    <col min="15364" max="15364" width="10.875" style="3" customWidth="1"/>
    <col min="15365" max="15365" width="10.5" style="3" customWidth="1"/>
    <col min="15366" max="15366" width="11" style="3" customWidth="1"/>
    <col min="15367" max="15367" width="9" style="3"/>
    <col min="15368" max="15368" width="10.625" style="3" customWidth="1"/>
    <col min="15369" max="15369" width="10" style="3" customWidth="1"/>
    <col min="15370" max="15370" width="9.875" style="3" customWidth="1"/>
    <col min="15371" max="15371" width="10.875" style="3" customWidth="1"/>
    <col min="15372" max="15372" width="10.5" style="3" customWidth="1"/>
    <col min="15373" max="15373" width="11" style="3" customWidth="1"/>
    <col min="15374" max="15374" width="9" style="3"/>
    <col min="15375" max="15375" width="10.625" style="3" customWidth="1"/>
    <col min="15376" max="15376" width="9" style="3"/>
    <col min="15377" max="15377" width="19.5" style="3" customWidth="1"/>
    <col min="15378" max="15378" width="16.75" style="3" customWidth="1"/>
    <col min="15379" max="15379" width="16.5" style="3" customWidth="1"/>
    <col min="15380" max="15616" width="9" style="3"/>
    <col min="15617" max="15617" width="1.875" style="3" customWidth="1"/>
    <col min="15618" max="15618" width="10" style="3" customWidth="1"/>
    <col min="15619" max="15619" width="9.875" style="3" customWidth="1"/>
    <col min="15620" max="15620" width="10.875" style="3" customWidth="1"/>
    <col min="15621" max="15621" width="10.5" style="3" customWidth="1"/>
    <col min="15622" max="15622" width="11" style="3" customWidth="1"/>
    <col min="15623" max="15623" width="9" style="3"/>
    <col min="15624" max="15624" width="10.625" style="3" customWidth="1"/>
    <col min="15625" max="15625" width="10" style="3" customWidth="1"/>
    <col min="15626" max="15626" width="9.875" style="3" customWidth="1"/>
    <col min="15627" max="15627" width="10.875" style="3" customWidth="1"/>
    <col min="15628" max="15628" width="10.5" style="3" customWidth="1"/>
    <col min="15629" max="15629" width="11" style="3" customWidth="1"/>
    <col min="15630" max="15630" width="9" style="3"/>
    <col min="15631" max="15631" width="10.625" style="3" customWidth="1"/>
    <col min="15632" max="15632" width="9" style="3"/>
    <col min="15633" max="15633" width="19.5" style="3" customWidth="1"/>
    <col min="15634" max="15634" width="16.75" style="3" customWidth="1"/>
    <col min="15635" max="15635" width="16.5" style="3" customWidth="1"/>
    <col min="15636" max="15872" width="9" style="3"/>
    <col min="15873" max="15873" width="1.875" style="3" customWidth="1"/>
    <col min="15874" max="15874" width="10" style="3" customWidth="1"/>
    <col min="15875" max="15875" width="9.875" style="3" customWidth="1"/>
    <col min="15876" max="15876" width="10.875" style="3" customWidth="1"/>
    <col min="15877" max="15877" width="10.5" style="3" customWidth="1"/>
    <col min="15878" max="15878" width="11" style="3" customWidth="1"/>
    <col min="15879" max="15879" width="9" style="3"/>
    <col min="15880" max="15880" width="10.625" style="3" customWidth="1"/>
    <col min="15881" max="15881" width="10" style="3" customWidth="1"/>
    <col min="15882" max="15882" width="9.875" style="3" customWidth="1"/>
    <col min="15883" max="15883" width="10.875" style="3" customWidth="1"/>
    <col min="15884" max="15884" width="10.5" style="3" customWidth="1"/>
    <col min="15885" max="15885" width="11" style="3" customWidth="1"/>
    <col min="15886" max="15886" width="9" style="3"/>
    <col min="15887" max="15887" width="10.625" style="3" customWidth="1"/>
    <col min="15888" max="15888" width="9" style="3"/>
    <col min="15889" max="15889" width="19.5" style="3" customWidth="1"/>
    <col min="15890" max="15890" width="16.75" style="3" customWidth="1"/>
    <col min="15891" max="15891" width="16.5" style="3" customWidth="1"/>
    <col min="15892" max="16128" width="9" style="3"/>
    <col min="16129" max="16129" width="1.875" style="3" customWidth="1"/>
    <col min="16130" max="16130" width="10" style="3" customWidth="1"/>
    <col min="16131" max="16131" width="9.875" style="3" customWidth="1"/>
    <col min="16132" max="16132" width="10.875" style="3" customWidth="1"/>
    <col min="16133" max="16133" width="10.5" style="3" customWidth="1"/>
    <col min="16134" max="16134" width="11" style="3" customWidth="1"/>
    <col min="16135" max="16135" width="9" style="3"/>
    <col min="16136" max="16136" width="10.625" style="3" customWidth="1"/>
    <col min="16137" max="16137" width="10" style="3" customWidth="1"/>
    <col min="16138" max="16138" width="9.875" style="3" customWidth="1"/>
    <col min="16139" max="16139" width="10.875" style="3" customWidth="1"/>
    <col min="16140" max="16140" width="10.5" style="3" customWidth="1"/>
    <col min="16141" max="16141" width="11" style="3" customWidth="1"/>
    <col min="16142" max="16142" width="9" style="3"/>
    <col min="16143" max="16143" width="10.625" style="3" customWidth="1"/>
    <col min="16144" max="16144" width="9" style="3"/>
    <col min="16145" max="16145" width="19.5" style="3" customWidth="1"/>
    <col min="16146" max="16146" width="16.75" style="3" customWidth="1"/>
    <col min="16147" max="16147" width="16.5" style="3" customWidth="1"/>
    <col min="16148" max="16384" width="9" style="3"/>
  </cols>
  <sheetData>
    <row r="1" spans="1:18" ht="32.450000000000003" customHeight="1">
      <c r="B1" s="188" t="s">
        <v>0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</row>
    <row r="2" spans="1:18" ht="27" customHeight="1" thickBot="1">
      <c r="L2" s="190" t="s">
        <v>229</v>
      </c>
      <c r="M2" s="190"/>
      <c r="N2" s="190"/>
      <c r="O2" s="190"/>
    </row>
    <row r="3" spans="1:18" s="1" customFormat="1" ht="45.75" customHeight="1" thickTop="1" thickBot="1">
      <c r="B3" s="40" t="s">
        <v>1</v>
      </c>
      <c r="C3" s="11" t="s">
        <v>2</v>
      </c>
      <c r="D3" s="41" t="s">
        <v>3</v>
      </c>
      <c r="E3" s="9" t="s">
        <v>4</v>
      </c>
      <c r="F3" s="41" t="s">
        <v>5</v>
      </c>
      <c r="G3" s="79" t="s">
        <v>6</v>
      </c>
      <c r="H3" s="11" t="s">
        <v>7</v>
      </c>
      <c r="I3" s="40" t="s">
        <v>1</v>
      </c>
      <c r="J3" s="11" t="s">
        <v>2</v>
      </c>
      <c r="K3" s="9" t="s">
        <v>3</v>
      </c>
      <c r="L3" s="9" t="s">
        <v>4</v>
      </c>
      <c r="M3" s="41" t="s">
        <v>5</v>
      </c>
      <c r="N3" s="92" t="s">
        <v>6</v>
      </c>
      <c r="O3" s="93" t="s">
        <v>7</v>
      </c>
      <c r="Q3" s="1" t="s">
        <v>8</v>
      </c>
    </row>
    <row r="4" spans="1:18" ht="34.5" customHeight="1">
      <c r="A4" s="3" t="s">
        <v>8</v>
      </c>
      <c r="B4" s="80" t="s">
        <v>9</v>
      </c>
      <c r="C4" s="81">
        <v>1001</v>
      </c>
      <c r="D4" s="82" t="s">
        <v>10</v>
      </c>
      <c r="E4" s="83">
        <f t="shared" ref="E4:E9" si="0">1800/30*G4</f>
        <v>1800</v>
      </c>
      <c r="F4" s="84">
        <f t="shared" ref="F4:F9" si="1">E4+300</f>
        <v>2100</v>
      </c>
      <c r="G4" s="85">
        <v>30</v>
      </c>
      <c r="H4" s="86" t="str">
        <f t="shared" ref="H4:H9" si="2">IF(G4&lt;30,"V"," ")</f>
        <v xml:space="preserve"> </v>
      </c>
      <c r="I4" s="184" t="s">
        <v>233</v>
      </c>
      <c r="J4" s="100">
        <v>2005</v>
      </c>
      <c r="K4" s="30" t="s">
        <v>17</v>
      </c>
      <c r="L4" s="15">
        <f t="shared" ref="L4:L13" si="3">1800/30*N4</f>
        <v>1800</v>
      </c>
      <c r="M4" s="22">
        <f t="shared" ref="M4:M13" si="4">L4+300</f>
        <v>2100</v>
      </c>
      <c r="N4" s="101">
        <v>30</v>
      </c>
      <c r="O4" s="102" t="str">
        <f t="shared" ref="O4:O15" si="5">IF(N4&lt;30,"V"," ")</f>
        <v xml:space="preserve"> </v>
      </c>
    </row>
    <row r="5" spans="1:18" ht="35.1" customHeight="1">
      <c r="B5" s="19" t="s">
        <v>13</v>
      </c>
      <c r="C5" s="20">
        <v>1010</v>
      </c>
      <c r="D5" s="87" t="s">
        <v>14</v>
      </c>
      <c r="E5" s="51">
        <f t="shared" si="0"/>
        <v>1800</v>
      </c>
      <c r="F5" s="88">
        <f t="shared" si="1"/>
        <v>2100</v>
      </c>
      <c r="G5" s="17">
        <v>30</v>
      </c>
      <c r="H5" s="18" t="str">
        <f t="shared" si="2"/>
        <v xml:space="preserve"> </v>
      </c>
      <c r="I5" s="103" t="s">
        <v>15</v>
      </c>
      <c r="J5" s="104">
        <v>2002</v>
      </c>
      <c r="K5" s="105" t="s">
        <v>20</v>
      </c>
      <c r="L5" s="15">
        <f t="shared" si="3"/>
        <v>1800</v>
      </c>
      <c r="M5" s="33">
        <f t="shared" si="4"/>
        <v>2100</v>
      </c>
      <c r="N5" s="101">
        <v>30</v>
      </c>
      <c r="O5" s="102" t="str">
        <f t="shared" si="5"/>
        <v xml:space="preserve"> </v>
      </c>
    </row>
    <row r="6" spans="1:18" ht="35.1" customHeight="1">
      <c r="B6" s="25" t="s">
        <v>15</v>
      </c>
      <c r="C6" s="20">
        <v>1050</v>
      </c>
      <c r="D6" s="89" t="s">
        <v>16</v>
      </c>
      <c r="E6" s="51">
        <f t="shared" si="0"/>
        <v>1800</v>
      </c>
      <c r="F6" s="90">
        <f t="shared" si="1"/>
        <v>2100</v>
      </c>
      <c r="G6" s="17">
        <v>30</v>
      </c>
      <c r="H6" s="18" t="str">
        <f t="shared" si="2"/>
        <v xml:space="preserve"> </v>
      </c>
      <c r="I6" s="91" t="s">
        <v>22</v>
      </c>
      <c r="J6" s="100">
        <v>2008</v>
      </c>
      <c r="K6" s="30" t="s">
        <v>23</v>
      </c>
      <c r="L6" s="15">
        <f t="shared" si="3"/>
        <v>480</v>
      </c>
      <c r="M6" s="22">
        <f t="shared" si="4"/>
        <v>780</v>
      </c>
      <c r="N6" s="101">
        <v>8</v>
      </c>
      <c r="O6" s="102" t="str">
        <f t="shared" si="5"/>
        <v>V</v>
      </c>
    </row>
    <row r="7" spans="1:18" ht="35.1" customHeight="1">
      <c r="B7" s="25" t="s">
        <v>15</v>
      </c>
      <c r="C7" s="20" t="s">
        <v>18</v>
      </c>
      <c r="D7" s="89" t="s">
        <v>19</v>
      </c>
      <c r="E7" s="51">
        <f t="shared" si="0"/>
        <v>1800</v>
      </c>
      <c r="F7" s="90">
        <f t="shared" si="1"/>
        <v>2100</v>
      </c>
      <c r="G7" s="17">
        <v>30</v>
      </c>
      <c r="H7" s="18" t="str">
        <f t="shared" si="2"/>
        <v xml:space="preserve"> </v>
      </c>
      <c r="I7" s="50" t="s">
        <v>15</v>
      </c>
      <c r="J7" s="100">
        <v>2011</v>
      </c>
      <c r="K7" s="30" t="s">
        <v>26</v>
      </c>
      <c r="L7" s="15">
        <f t="shared" si="3"/>
        <v>1800</v>
      </c>
      <c r="M7" s="22">
        <f t="shared" si="4"/>
        <v>2100</v>
      </c>
      <c r="N7" s="101">
        <v>30</v>
      </c>
      <c r="O7" s="102" t="str">
        <f t="shared" si="5"/>
        <v xml:space="preserve"> </v>
      </c>
    </row>
    <row r="8" spans="1:18" ht="35.1" customHeight="1">
      <c r="B8" s="25" t="s">
        <v>15</v>
      </c>
      <c r="C8" s="20">
        <v>1060</v>
      </c>
      <c r="D8" s="89" t="s">
        <v>21</v>
      </c>
      <c r="E8" s="51">
        <f t="shared" si="0"/>
        <v>1800</v>
      </c>
      <c r="F8" s="90">
        <f t="shared" si="1"/>
        <v>2100</v>
      </c>
      <c r="G8" s="17">
        <v>30</v>
      </c>
      <c r="H8" s="18" t="str">
        <f t="shared" si="2"/>
        <v xml:space="preserve"> </v>
      </c>
      <c r="I8" s="50" t="s">
        <v>15</v>
      </c>
      <c r="J8" s="106" t="s">
        <v>28</v>
      </c>
      <c r="K8" s="30" t="s">
        <v>29</v>
      </c>
      <c r="L8" s="15">
        <f t="shared" si="3"/>
        <v>480</v>
      </c>
      <c r="M8" s="22">
        <f t="shared" si="4"/>
        <v>780</v>
      </c>
      <c r="N8" s="101">
        <v>8</v>
      </c>
      <c r="O8" s="102" t="str">
        <f t="shared" si="5"/>
        <v>V</v>
      </c>
    </row>
    <row r="9" spans="1:18" ht="35.1" customHeight="1">
      <c r="B9" s="19" t="s">
        <v>24</v>
      </c>
      <c r="C9" s="20">
        <v>1003</v>
      </c>
      <c r="D9" s="89" t="s">
        <v>30</v>
      </c>
      <c r="E9" s="51">
        <f t="shared" si="0"/>
        <v>1800</v>
      </c>
      <c r="F9" s="90">
        <f t="shared" si="1"/>
        <v>2100</v>
      </c>
      <c r="G9" s="17">
        <v>30</v>
      </c>
      <c r="H9" s="18" t="str">
        <f t="shared" si="2"/>
        <v xml:space="preserve"> </v>
      </c>
      <c r="I9" s="50" t="s">
        <v>15</v>
      </c>
      <c r="J9" s="106">
        <v>2042</v>
      </c>
      <c r="K9" s="30" t="s">
        <v>31</v>
      </c>
      <c r="L9" s="15">
        <f t="shared" si="3"/>
        <v>1800</v>
      </c>
      <c r="M9" s="22">
        <f t="shared" si="4"/>
        <v>2100</v>
      </c>
      <c r="N9" s="101">
        <v>30</v>
      </c>
      <c r="O9" s="102" t="str">
        <f t="shared" si="5"/>
        <v xml:space="preserve"> </v>
      </c>
      <c r="Q9" s="119"/>
    </row>
    <row r="10" spans="1:18" ht="35.1" customHeight="1">
      <c r="B10" s="185"/>
      <c r="C10" s="45"/>
      <c r="D10" s="45"/>
      <c r="E10" s="45"/>
      <c r="F10" s="45"/>
      <c r="G10" s="45"/>
      <c r="H10" s="18" t="str">
        <f>IF('115.4紡織部 '!G24&lt;30,"V"," ")</f>
        <v xml:space="preserve"> </v>
      </c>
      <c r="I10" s="91" t="s">
        <v>32</v>
      </c>
      <c r="J10" s="106">
        <v>2039</v>
      </c>
      <c r="K10" s="89" t="s">
        <v>73</v>
      </c>
      <c r="L10" s="51">
        <f t="shared" si="3"/>
        <v>1800</v>
      </c>
      <c r="M10" s="90">
        <f t="shared" si="4"/>
        <v>2100</v>
      </c>
      <c r="N10" s="23">
        <v>30</v>
      </c>
      <c r="O10" s="18" t="str">
        <f t="shared" si="5"/>
        <v xml:space="preserve"> </v>
      </c>
      <c r="Q10" s="119"/>
    </row>
    <row r="11" spans="1:18" ht="35.1" customHeight="1">
      <c r="B11" s="25" t="s">
        <v>15</v>
      </c>
      <c r="C11" s="20" t="s">
        <v>230</v>
      </c>
      <c r="D11" s="89" t="s">
        <v>231</v>
      </c>
      <c r="E11" s="51">
        <f t="shared" ref="E11" si="6">1800/30*G11</f>
        <v>1800</v>
      </c>
      <c r="F11" s="90">
        <f>E11+300</f>
        <v>2100</v>
      </c>
      <c r="G11" s="17">
        <v>30</v>
      </c>
      <c r="H11" s="18" t="str">
        <f t="shared" ref="H11:H19" si="7">IF(G11&lt;30,"V"," ")</f>
        <v xml:space="preserve"> </v>
      </c>
      <c r="I11" s="50" t="s">
        <v>15</v>
      </c>
      <c r="J11" s="106">
        <v>2031</v>
      </c>
      <c r="K11" s="30" t="s">
        <v>37</v>
      </c>
      <c r="L11" s="15">
        <f t="shared" si="3"/>
        <v>600</v>
      </c>
      <c r="M11" s="22">
        <f t="shared" si="4"/>
        <v>900</v>
      </c>
      <c r="N11" s="101">
        <v>10</v>
      </c>
      <c r="O11" s="102" t="str">
        <f t="shared" si="5"/>
        <v>V</v>
      </c>
      <c r="Q11" s="119"/>
    </row>
    <row r="12" spans="1:18" ht="35.1" customHeight="1">
      <c r="B12" s="25"/>
      <c r="C12" s="20"/>
      <c r="D12" s="89"/>
      <c r="E12" s="51"/>
      <c r="F12" s="90"/>
      <c r="G12" s="17">
        <v>30</v>
      </c>
      <c r="H12" s="18" t="str">
        <f t="shared" si="7"/>
        <v xml:space="preserve"> </v>
      </c>
      <c r="I12" s="50" t="s">
        <v>15</v>
      </c>
      <c r="J12" s="106">
        <v>2047</v>
      </c>
      <c r="K12" s="107" t="s">
        <v>232</v>
      </c>
      <c r="L12" s="15">
        <f t="shared" si="3"/>
        <v>1800</v>
      </c>
      <c r="M12" s="22">
        <f t="shared" si="4"/>
        <v>2100</v>
      </c>
      <c r="N12" s="101">
        <v>30</v>
      </c>
      <c r="O12" s="102" t="str">
        <f t="shared" si="5"/>
        <v xml:space="preserve"> </v>
      </c>
      <c r="Q12" s="119"/>
      <c r="R12" s="76"/>
    </row>
    <row r="13" spans="1:18" ht="35.1" customHeight="1">
      <c r="B13" s="25"/>
      <c r="C13" s="20"/>
      <c r="D13" s="30"/>
      <c r="E13" s="15"/>
      <c r="F13" s="22"/>
      <c r="G13" s="101">
        <v>30</v>
      </c>
      <c r="H13" s="102" t="str">
        <f t="shared" si="7"/>
        <v xml:space="preserve"> </v>
      </c>
      <c r="I13" s="50" t="s">
        <v>15</v>
      </c>
      <c r="J13" s="106">
        <v>2018</v>
      </c>
      <c r="K13" s="107" t="s">
        <v>197</v>
      </c>
      <c r="L13" s="15">
        <f t="shared" si="3"/>
        <v>1800</v>
      </c>
      <c r="M13" s="22">
        <f t="shared" si="4"/>
        <v>2100</v>
      </c>
      <c r="N13" s="101">
        <v>30</v>
      </c>
      <c r="O13" s="102" t="str">
        <f t="shared" si="5"/>
        <v xml:space="preserve"> </v>
      </c>
      <c r="Q13" s="120"/>
      <c r="R13" s="134"/>
    </row>
    <row r="14" spans="1:18" ht="34.9" customHeight="1">
      <c r="B14" s="19" t="s">
        <v>34</v>
      </c>
      <c r="C14" s="20">
        <v>1046</v>
      </c>
      <c r="D14" s="89" t="s">
        <v>35</v>
      </c>
      <c r="E14" s="51">
        <f t="shared" ref="E14:E19" si="8">1800/30*G14</f>
        <v>1800</v>
      </c>
      <c r="F14" s="90">
        <f t="shared" ref="F14:F19" si="9">E14+300</f>
        <v>2100</v>
      </c>
      <c r="G14" s="17">
        <v>30</v>
      </c>
      <c r="H14" s="18" t="str">
        <f t="shared" si="7"/>
        <v xml:space="preserve"> </v>
      </c>
      <c r="I14" s="50"/>
      <c r="J14" s="106"/>
      <c r="K14" s="107"/>
      <c r="L14" s="15"/>
      <c r="M14" s="22"/>
      <c r="N14" s="101"/>
      <c r="O14" s="102" t="str">
        <f t="shared" si="5"/>
        <v>V</v>
      </c>
      <c r="Q14" s="120"/>
      <c r="R14" s="76"/>
    </row>
    <row r="15" spans="1:18" ht="35.1" customHeight="1">
      <c r="B15" s="25" t="s">
        <v>15</v>
      </c>
      <c r="C15" s="20">
        <v>1014</v>
      </c>
      <c r="D15" s="89" t="s">
        <v>36</v>
      </c>
      <c r="E15" s="51">
        <f t="shared" si="8"/>
        <v>1800</v>
      </c>
      <c r="F15" s="90">
        <f t="shared" si="9"/>
        <v>2100</v>
      </c>
      <c r="G15" s="17">
        <v>30</v>
      </c>
      <c r="H15" s="18" t="str">
        <f t="shared" si="7"/>
        <v xml:space="preserve"> </v>
      </c>
      <c r="I15" s="50"/>
      <c r="J15" s="106"/>
      <c r="K15" s="107"/>
      <c r="L15" s="22"/>
      <c r="M15" s="45"/>
      <c r="N15" s="101"/>
      <c r="O15" s="102" t="str">
        <f t="shared" si="5"/>
        <v>V</v>
      </c>
      <c r="Q15" s="120"/>
    </row>
    <row r="16" spans="1:18" ht="35.1" customHeight="1">
      <c r="B16" s="25" t="s">
        <v>15</v>
      </c>
      <c r="C16" s="20">
        <v>1015</v>
      </c>
      <c r="D16" s="89" t="s">
        <v>38</v>
      </c>
      <c r="E16" s="51">
        <f t="shared" si="8"/>
        <v>1800</v>
      </c>
      <c r="F16" s="90">
        <f t="shared" si="9"/>
        <v>2100</v>
      </c>
      <c r="G16" s="17">
        <v>30</v>
      </c>
      <c r="H16" s="18" t="str">
        <f t="shared" si="7"/>
        <v xml:space="preserve"> </v>
      </c>
      <c r="I16" s="50"/>
      <c r="J16" s="106"/>
      <c r="K16" s="107"/>
      <c r="L16" s="22"/>
      <c r="M16" s="45"/>
      <c r="N16" s="101"/>
      <c r="O16" s="102" t="str">
        <f t="shared" ref="O16:O18" si="10">IF(N16&lt;30,"V"," ")</f>
        <v>V</v>
      </c>
      <c r="Q16" s="120"/>
    </row>
    <row r="17" spans="2:19" ht="35.1" customHeight="1">
      <c r="B17" s="25" t="s">
        <v>15</v>
      </c>
      <c r="C17" s="163" t="s">
        <v>174</v>
      </c>
      <c r="D17" s="30" t="s">
        <v>49</v>
      </c>
      <c r="E17" s="109">
        <f t="shared" si="8"/>
        <v>1800</v>
      </c>
      <c r="F17" s="22">
        <f t="shared" si="9"/>
        <v>2100</v>
      </c>
      <c r="G17" s="23">
        <v>30</v>
      </c>
      <c r="H17" s="18" t="str">
        <f t="shared" si="7"/>
        <v xml:space="preserve"> </v>
      </c>
      <c r="I17" s="50"/>
      <c r="J17" s="106"/>
      <c r="K17" s="107"/>
      <c r="L17" s="22"/>
      <c r="M17" s="127"/>
      <c r="N17" s="101"/>
      <c r="O17" s="102" t="str">
        <f t="shared" si="10"/>
        <v>V</v>
      </c>
      <c r="S17" s="66">
        <f>SUMIFS(F4:F37,F4:F37,2100)</f>
        <v>42000</v>
      </c>
    </row>
    <row r="18" spans="2:19" ht="35.1" customHeight="1">
      <c r="B18" s="25" t="s">
        <v>15</v>
      </c>
      <c r="C18" s="20" t="s">
        <v>39</v>
      </c>
      <c r="D18" s="89" t="s">
        <v>40</v>
      </c>
      <c r="E18" s="51">
        <f t="shared" si="8"/>
        <v>1800</v>
      </c>
      <c r="F18" s="90">
        <f t="shared" si="9"/>
        <v>2100</v>
      </c>
      <c r="G18" s="17">
        <v>30</v>
      </c>
      <c r="H18" s="18" t="str">
        <f t="shared" si="7"/>
        <v xml:space="preserve"> </v>
      </c>
      <c r="I18" s="50"/>
      <c r="J18" s="106"/>
      <c r="K18" s="107"/>
      <c r="L18" s="22"/>
      <c r="N18" s="101"/>
      <c r="O18" s="102" t="str">
        <f t="shared" si="10"/>
        <v>V</v>
      </c>
      <c r="S18" s="67">
        <f>SUMIFS(M4:M15,M4:M15,2100)</f>
        <v>14700</v>
      </c>
    </row>
    <row r="19" spans="2:19" ht="35.1" customHeight="1">
      <c r="B19" s="25" t="s">
        <v>15</v>
      </c>
      <c r="C19" s="20">
        <v>1059</v>
      </c>
      <c r="D19" s="89" t="s">
        <v>41</v>
      </c>
      <c r="E19" s="51">
        <f t="shared" si="8"/>
        <v>1440</v>
      </c>
      <c r="F19" s="90">
        <f t="shared" si="9"/>
        <v>1740</v>
      </c>
      <c r="G19" s="17">
        <v>24</v>
      </c>
      <c r="H19" s="18" t="str">
        <f t="shared" si="7"/>
        <v>V</v>
      </c>
      <c r="I19" s="198" t="s">
        <v>44</v>
      </c>
      <c r="J19" s="199"/>
      <c r="K19" s="199"/>
      <c r="L19" s="199"/>
      <c r="M19" s="199"/>
      <c r="N19" s="200"/>
      <c r="O19" s="201"/>
      <c r="S19" s="121">
        <f>SUMIFS(M19:M21,M19:M21,2100)</f>
        <v>2100</v>
      </c>
    </row>
    <row r="20" spans="2:19" ht="35.1" customHeight="1" thickBot="1">
      <c r="B20" s="25"/>
      <c r="C20" s="45"/>
      <c r="D20" s="45"/>
      <c r="E20" s="45"/>
      <c r="F20" s="45"/>
      <c r="G20" s="45"/>
      <c r="H20" s="18" t="str">
        <f>IF('115.4紡織部 '!G25&lt;30,"V"," ")</f>
        <v xml:space="preserve"> </v>
      </c>
      <c r="I20" s="91" t="s">
        <v>42</v>
      </c>
      <c r="J20" s="108" t="s">
        <v>46</v>
      </c>
      <c r="K20" s="30" t="s">
        <v>47</v>
      </c>
      <c r="L20" s="109">
        <f>1800/30*N20</f>
        <v>1440</v>
      </c>
      <c r="M20" s="33">
        <f>L20+300</f>
        <v>1740</v>
      </c>
      <c r="N20" s="101">
        <v>24</v>
      </c>
      <c r="O20" s="18" t="str">
        <f>IF(N20&lt;30,"V"," ")</f>
        <v>V</v>
      </c>
      <c r="R20" s="122" t="s">
        <v>45</v>
      </c>
      <c r="S20" s="69">
        <f>SUM(S17:S19)</f>
        <v>58800</v>
      </c>
    </row>
    <row r="21" spans="2:19" ht="35.1" customHeight="1" thickTop="1">
      <c r="B21" s="19" t="s">
        <v>42</v>
      </c>
      <c r="C21" s="13">
        <v>1004</v>
      </c>
      <c r="D21" s="87" t="s">
        <v>43</v>
      </c>
      <c r="E21" s="83">
        <f t="shared" ref="E21:E26" si="11">1800/30*G21</f>
        <v>1800</v>
      </c>
      <c r="F21" s="88">
        <f t="shared" ref="F21:F26" si="12">E21+300</f>
        <v>2100</v>
      </c>
      <c r="G21" s="17">
        <v>30</v>
      </c>
      <c r="H21" s="18" t="str">
        <f t="shared" ref="H21:H36" si="13">IF(G21&lt;30,"V"," ")</f>
        <v xml:space="preserve"> </v>
      </c>
      <c r="I21" s="129" t="s">
        <v>157</v>
      </c>
      <c r="J21" s="110" t="s">
        <v>156</v>
      </c>
      <c r="K21" s="89" t="s">
        <v>139</v>
      </c>
      <c r="L21" s="51">
        <f t="shared" ref="L21" si="14">1800/30*N21</f>
        <v>1800</v>
      </c>
      <c r="M21" s="90">
        <f t="shared" ref="M21" si="15">L21+300</f>
        <v>2100</v>
      </c>
      <c r="N21" s="17">
        <v>30</v>
      </c>
      <c r="O21" s="18" t="str">
        <f>IF(N21&lt;30,"V"," ")</f>
        <v xml:space="preserve"> </v>
      </c>
      <c r="S21" s="76" t="s">
        <v>48</v>
      </c>
    </row>
    <row r="22" spans="2:19" ht="35.1" customHeight="1">
      <c r="B22" s="25" t="s">
        <v>15</v>
      </c>
      <c r="C22" s="20">
        <v>1008</v>
      </c>
      <c r="D22" s="89" t="s">
        <v>158</v>
      </c>
      <c r="E22" s="51">
        <f t="shared" si="11"/>
        <v>1800</v>
      </c>
      <c r="F22" s="90">
        <f t="shared" si="12"/>
        <v>2100</v>
      </c>
      <c r="G22" s="17">
        <v>30</v>
      </c>
      <c r="H22" s="18" t="str">
        <f t="shared" si="13"/>
        <v xml:space="preserve"> </v>
      </c>
      <c r="I22" s="129"/>
      <c r="J22" s="110"/>
      <c r="K22" s="89"/>
      <c r="L22" s="51"/>
      <c r="M22" s="90"/>
      <c r="N22" s="17"/>
      <c r="O22" s="18" t="str">
        <f>IF(N22&lt;30,"V"," ")</f>
        <v>V</v>
      </c>
      <c r="S22" s="66">
        <f>SUMIFS(F4:F37,H4:H37,"v")</f>
        <v>6480</v>
      </c>
    </row>
    <row r="23" spans="2:19" ht="35.1" customHeight="1">
      <c r="B23" s="25" t="s">
        <v>15</v>
      </c>
      <c r="C23" s="20">
        <v>2040</v>
      </c>
      <c r="D23" s="89" t="s">
        <v>50</v>
      </c>
      <c r="E23" s="51">
        <f t="shared" si="11"/>
        <v>1800</v>
      </c>
      <c r="F23" s="90">
        <f t="shared" si="12"/>
        <v>2100</v>
      </c>
      <c r="G23" s="17">
        <v>30</v>
      </c>
      <c r="H23" s="18" t="str">
        <f t="shared" si="13"/>
        <v xml:space="preserve"> </v>
      </c>
      <c r="I23" s="181" t="s">
        <v>51</v>
      </c>
      <c r="J23" s="182"/>
      <c r="K23" s="182"/>
      <c r="L23" s="182"/>
      <c r="M23" s="182"/>
      <c r="N23" s="182"/>
      <c r="O23" s="183"/>
      <c r="S23" s="71">
        <f>SUMIFS(M4:M15,O4:O15,"v")</f>
        <v>2460</v>
      </c>
    </row>
    <row r="24" spans="2:19" ht="35.1" customHeight="1">
      <c r="B24" s="25" t="s">
        <v>15</v>
      </c>
      <c r="C24" s="20">
        <v>1041</v>
      </c>
      <c r="D24" s="89" t="s">
        <v>52</v>
      </c>
      <c r="E24" s="51">
        <f t="shared" si="11"/>
        <v>1800</v>
      </c>
      <c r="F24" s="90">
        <f t="shared" si="12"/>
        <v>2100</v>
      </c>
      <c r="G24" s="17">
        <v>30</v>
      </c>
      <c r="H24" s="18" t="str">
        <f t="shared" si="13"/>
        <v xml:space="preserve"> </v>
      </c>
      <c r="I24" s="111" t="s">
        <v>53</v>
      </c>
      <c r="J24" s="112">
        <v>7021</v>
      </c>
      <c r="K24" s="21" t="s">
        <v>55</v>
      </c>
      <c r="L24" s="51">
        <v>700</v>
      </c>
      <c r="M24" s="22">
        <f t="shared" ref="M24" si="16">L24+300</f>
        <v>1000</v>
      </c>
      <c r="N24" s="23"/>
      <c r="O24" s="113"/>
      <c r="S24" s="123">
        <f>SUMIFS(M19:M20,O19:O20,"v")</f>
        <v>1740</v>
      </c>
    </row>
    <row r="25" spans="2:19" ht="35.1" customHeight="1" thickBot="1">
      <c r="B25" s="25" t="s">
        <v>15</v>
      </c>
      <c r="C25" s="20">
        <v>1069</v>
      </c>
      <c r="D25" s="89" t="s">
        <v>145</v>
      </c>
      <c r="E25" s="51">
        <f t="shared" si="11"/>
        <v>1800</v>
      </c>
      <c r="F25" s="90">
        <f t="shared" si="12"/>
        <v>2100</v>
      </c>
      <c r="G25" s="17">
        <v>30</v>
      </c>
      <c r="H25" s="18" t="str">
        <f t="shared" si="13"/>
        <v xml:space="preserve"> </v>
      </c>
      <c r="I25" s="50" t="s">
        <v>15</v>
      </c>
      <c r="J25" s="112">
        <v>7034</v>
      </c>
      <c r="K25" s="21" t="s">
        <v>140</v>
      </c>
      <c r="L25" s="51">
        <v>700</v>
      </c>
      <c r="M25" s="22">
        <f>L25+300</f>
        <v>1000</v>
      </c>
      <c r="N25" s="23"/>
      <c r="O25" s="113"/>
      <c r="Q25" s="76"/>
      <c r="R25" s="122" t="s">
        <v>56</v>
      </c>
      <c r="S25" s="73">
        <f>SUM(S22,S23,S24)</f>
        <v>10680</v>
      </c>
    </row>
    <row r="26" spans="2:19" ht="35.1" customHeight="1" thickTop="1">
      <c r="B26" s="25" t="s">
        <v>15</v>
      </c>
      <c r="C26" s="20" t="s">
        <v>162</v>
      </c>
      <c r="D26" s="89" t="s">
        <v>161</v>
      </c>
      <c r="E26" s="51">
        <f t="shared" si="11"/>
        <v>780</v>
      </c>
      <c r="F26" s="90">
        <f t="shared" si="12"/>
        <v>1080</v>
      </c>
      <c r="G26" s="17">
        <v>13</v>
      </c>
      <c r="H26" s="18" t="str">
        <f t="shared" si="13"/>
        <v>V</v>
      </c>
      <c r="I26" s="50" t="s">
        <v>15</v>
      </c>
      <c r="J26" s="112">
        <v>7017</v>
      </c>
      <c r="K26" s="21" t="s">
        <v>70</v>
      </c>
      <c r="L26" s="51">
        <v>700</v>
      </c>
      <c r="M26" s="22">
        <f t="shared" ref="M26:M29" si="17">L26+300</f>
        <v>1000</v>
      </c>
      <c r="N26" s="23"/>
      <c r="O26" s="143"/>
    </row>
    <row r="27" spans="2:19" ht="35.1" customHeight="1">
      <c r="B27" s="25"/>
      <c r="C27" s="20"/>
      <c r="D27" s="89"/>
      <c r="E27" s="51"/>
      <c r="F27" s="90"/>
      <c r="G27" s="17"/>
      <c r="H27" s="18" t="str">
        <f t="shared" si="13"/>
        <v>V</v>
      </c>
      <c r="I27" s="114" t="s">
        <v>15</v>
      </c>
      <c r="J27" s="112">
        <v>7019</v>
      </c>
      <c r="K27" s="30" t="s">
        <v>72</v>
      </c>
      <c r="L27" s="51">
        <v>700</v>
      </c>
      <c r="M27" s="22">
        <f t="shared" si="17"/>
        <v>1000</v>
      </c>
      <c r="N27" s="23"/>
      <c r="O27" s="135"/>
      <c r="Q27" s="124"/>
      <c r="R27" s="124" t="s">
        <v>62</v>
      </c>
      <c r="S27" s="125">
        <f>SUM(M23:M36)</f>
        <v>17940</v>
      </c>
    </row>
    <row r="28" spans="2:19" ht="35.1" customHeight="1" thickBot="1">
      <c r="B28" s="19"/>
      <c r="C28" s="20"/>
      <c r="D28" s="89"/>
      <c r="E28" s="51">
        <f t="shared" ref="E28:E34" si="18">1800/30*G28</f>
        <v>0</v>
      </c>
      <c r="F28" s="90"/>
      <c r="G28" s="17"/>
      <c r="H28" s="18" t="str">
        <f t="shared" si="13"/>
        <v>V</v>
      </c>
      <c r="I28" s="114" t="s">
        <v>15</v>
      </c>
      <c r="J28" s="112">
        <v>7020</v>
      </c>
      <c r="K28" s="30" t="s">
        <v>74</v>
      </c>
      <c r="L28" s="51">
        <v>800</v>
      </c>
      <c r="M28" s="22">
        <f t="shared" si="17"/>
        <v>1100</v>
      </c>
      <c r="N28" s="23"/>
      <c r="O28" s="128"/>
      <c r="R28" s="122" t="s">
        <v>64</v>
      </c>
      <c r="S28" s="126">
        <f>SUM(F4:F37,M4:M15,M19:M20,M23:M35)</f>
        <v>83380</v>
      </c>
    </row>
    <row r="29" spans="2:19" ht="35.1" customHeight="1" thickTop="1">
      <c r="B29" s="19" t="s">
        <v>59</v>
      </c>
      <c r="C29" s="20">
        <v>2015</v>
      </c>
      <c r="D29" s="89" t="s">
        <v>60</v>
      </c>
      <c r="E29" s="51">
        <f t="shared" si="18"/>
        <v>600</v>
      </c>
      <c r="F29" s="90">
        <f t="shared" ref="F29:F34" si="19">E29+300</f>
        <v>900</v>
      </c>
      <c r="G29" s="17">
        <v>10</v>
      </c>
      <c r="H29" s="18" t="str">
        <f t="shared" si="13"/>
        <v>V</v>
      </c>
      <c r="I29" s="114" t="s">
        <v>15</v>
      </c>
      <c r="J29" s="112">
        <v>7036</v>
      </c>
      <c r="K29" s="30" t="s">
        <v>141</v>
      </c>
      <c r="L29" s="51">
        <v>800</v>
      </c>
      <c r="M29" s="22">
        <f t="shared" si="17"/>
        <v>1100</v>
      </c>
      <c r="N29" s="23"/>
      <c r="O29" s="175"/>
      <c r="R29" s="5" t="s">
        <v>68</v>
      </c>
      <c r="S29" s="76">
        <f>SUM(S20+S25+S27)</f>
        <v>87420</v>
      </c>
    </row>
    <row r="30" spans="2:19" ht="35.1" customHeight="1">
      <c r="B30" s="19"/>
      <c r="C30" s="20">
        <v>2043</v>
      </c>
      <c r="D30" s="89" t="s">
        <v>63</v>
      </c>
      <c r="E30" s="51">
        <f t="shared" si="18"/>
        <v>1800</v>
      </c>
      <c r="F30" s="90">
        <f t="shared" si="19"/>
        <v>2100</v>
      </c>
      <c r="G30" s="17">
        <v>30</v>
      </c>
      <c r="H30" s="18" t="str">
        <f t="shared" si="13"/>
        <v xml:space="preserve"> </v>
      </c>
      <c r="I30" s="114" t="s">
        <v>15</v>
      </c>
      <c r="J30" s="112" t="s">
        <v>170</v>
      </c>
      <c r="K30" s="141" t="s">
        <v>169</v>
      </c>
      <c r="L30" s="51">
        <v>700</v>
      </c>
      <c r="M30" s="22">
        <f>L30+300</f>
        <v>1000</v>
      </c>
      <c r="N30" s="23"/>
      <c r="O30" s="113"/>
    </row>
    <row r="31" spans="2:19" ht="35.1" customHeight="1">
      <c r="B31" s="19" t="s">
        <v>65</v>
      </c>
      <c r="C31" s="20">
        <v>2013</v>
      </c>
      <c r="D31" s="89" t="s">
        <v>66</v>
      </c>
      <c r="E31" s="51">
        <f t="shared" si="18"/>
        <v>480</v>
      </c>
      <c r="F31" s="90">
        <f t="shared" si="19"/>
        <v>780</v>
      </c>
      <c r="G31" s="17">
        <v>8</v>
      </c>
      <c r="H31" s="18" t="str">
        <f t="shared" si="13"/>
        <v>V</v>
      </c>
      <c r="I31" s="114" t="s">
        <v>15</v>
      </c>
      <c r="J31" s="112" t="s">
        <v>172</v>
      </c>
      <c r="K31" s="141" t="s">
        <v>173</v>
      </c>
      <c r="L31" s="51">
        <v>700</v>
      </c>
      <c r="M31" s="22">
        <f>L31+300</f>
        <v>1000</v>
      </c>
      <c r="N31" s="23"/>
      <c r="O31" s="113"/>
    </row>
    <row r="32" spans="2:19" ht="35.1" customHeight="1">
      <c r="B32" s="25" t="s">
        <v>15</v>
      </c>
      <c r="C32" s="20">
        <v>2014</v>
      </c>
      <c r="D32" s="89" t="s">
        <v>69</v>
      </c>
      <c r="E32" s="51">
        <f t="shared" si="18"/>
        <v>1800</v>
      </c>
      <c r="F32" s="90">
        <f t="shared" si="19"/>
        <v>2100</v>
      </c>
      <c r="G32" s="17">
        <v>30</v>
      </c>
      <c r="H32" s="18" t="str">
        <f t="shared" si="13"/>
        <v xml:space="preserve"> </v>
      </c>
      <c r="I32" s="50" t="s">
        <v>15</v>
      </c>
      <c r="J32" s="112">
        <v>7006</v>
      </c>
      <c r="K32" s="21" t="s">
        <v>54</v>
      </c>
      <c r="L32" s="51">
        <v>1640</v>
      </c>
      <c r="M32" s="22">
        <f t="shared" ref="M32:M37" si="20">L32+300</f>
        <v>1940</v>
      </c>
      <c r="N32" s="23"/>
      <c r="O32" s="176" t="s">
        <v>213</v>
      </c>
      <c r="P32" s="115"/>
      <c r="R32" s="3" t="s">
        <v>8</v>
      </c>
    </row>
    <row r="33" spans="1:17" ht="35.1" customHeight="1">
      <c r="B33" s="25" t="s">
        <v>15</v>
      </c>
      <c r="C33" s="20">
        <v>2045</v>
      </c>
      <c r="D33" s="89" t="s">
        <v>71</v>
      </c>
      <c r="E33" s="51">
        <f t="shared" si="18"/>
        <v>1800</v>
      </c>
      <c r="F33" s="90">
        <f t="shared" si="19"/>
        <v>2100</v>
      </c>
      <c r="G33" s="23">
        <v>30</v>
      </c>
      <c r="H33" s="18" t="str">
        <f t="shared" si="13"/>
        <v xml:space="preserve"> </v>
      </c>
      <c r="I33" s="50" t="s">
        <v>15</v>
      </c>
      <c r="J33" s="112">
        <v>7016</v>
      </c>
      <c r="K33" s="21" t="s">
        <v>61</v>
      </c>
      <c r="L33" s="51">
        <v>1580</v>
      </c>
      <c r="M33" s="22">
        <f t="shared" si="20"/>
        <v>1880</v>
      </c>
      <c r="N33" s="23"/>
      <c r="O33" s="176" t="s">
        <v>214</v>
      </c>
      <c r="P33" s="116"/>
    </row>
    <row r="34" spans="1:17" ht="35.1" customHeight="1">
      <c r="B34" s="91" t="s">
        <v>57</v>
      </c>
      <c r="C34" s="20">
        <v>2020</v>
      </c>
      <c r="D34" s="89" t="s">
        <v>58</v>
      </c>
      <c r="E34" s="51">
        <f t="shared" si="18"/>
        <v>1680</v>
      </c>
      <c r="F34" s="90">
        <f t="shared" si="19"/>
        <v>1980</v>
      </c>
      <c r="G34" s="23">
        <v>28</v>
      </c>
      <c r="H34" s="18" t="str">
        <f t="shared" si="13"/>
        <v>V</v>
      </c>
      <c r="I34" s="114" t="s">
        <v>15</v>
      </c>
      <c r="J34" s="112">
        <v>7012</v>
      </c>
      <c r="K34" s="21" t="s">
        <v>67</v>
      </c>
      <c r="L34" s="51">
        <v>1640</v>
      </c>
      <c r="M34" s="22">
        <f t="shared" si="20"/>
        <v>1940</v>
      </c>
      <c r="N34" s="118"/>
      <c r="O34" s="176" t="s">
        <v>215</v>
      </c>
      <c r="P34" s="117"/>
    </row>
    <row r="35" spans="1:17" ht="35.1" customHeight="1">
      <c r="B35" s="91"/>
      <c r="C35" s="20"/>
      <c r="D35" s="89"/>
      <c r="E35" s="51"/>
      <c r="F35" s="90"/>
      <c r="G35" s="23"/>
      <c r="H35" s="18" t="str">
        <f t="shared" si="13"/>
        <v>V</v>
      </c>
      <c r="I35" s="114" t="s">
        <v>15</v>
      </c>
      <c r="J35" s="112">
        <v>7022</v>
      </c>
      <c r="K35" s="30" t="s">
        <v>75</v>
      </c>
      <c r="L35" s="51">
        <v>1740</v>
      </c>
      <c r="M35" s="22">
        <f t="shared" si="20"/>
        <v>2040</v>
      </c>
      <c r="N35" s="118"/>
      <c r="O35" s="176" t="s">
        <v>216</v>
      </c>
    </row>
    <row r="36" spans="1:17" ht="35.1" customHeight="1">
      <c r="B36" s="91"/>
      <c r="C36" s="20"/>
      <c r="D36" s="89"/>
      <c r="E36" s="51"/>
      <c r="F36" s="90"/>
      <c r="G36" s="23"/>
      <c r="H36" s="18" t="str">
        <f t="shared" si="13"/>
        <v>V</v>
      </c>
      <c r="I36" s="151" t="s">
        <v>15</v>
      </c>
      <c r="J36" s="112">
        <v>7027</v>
      </c>
      <c r="K36" s="107" t="s">
        <v>76</v>
      </c>
      <c r="L36" s="51">
        <v>1640</v>
      </c>
      <c r="M36" s="22">
        <f t="shared" si="20"/>
        <v>1940</v>
      </c>
      <c r="N36" s="154"/>
      <c r="O36" s="176" t="s">
        <v>217</v>
      </c>
    </row>
    <row r="37" spans="1:17" ht="35.1" customHeight="1" thickBot="1">
      <c r="B37" s="91"/>
      <c r="C37" s="20"/>
      <c r="D37" s="89"/>
      <c r="E37" s="51"/>
      <c r="F37" s="90"/>
      <c r="G37" s="146"/>
      <c r="H37" s="147"/>
      <c r="I37" s="55" t="s">
        <v>15</v>
      </c>
      <c r="J37" s="152">
        <v>7041</v>
      </c>
      <c r="K37" s="153" t="s">
        <v>146</v>
      </c>
      <c r="L37" s="150">
        <v>1640</v>
      </c>
      <c r="M37" s="33">
        <f t="shared" si="20"/>
        <v>1940</v>
      </c>
      <c r="N37" s="148"/>
      <c r="O37" s="176" t="s">
        <v>218</v>
      </c>
    </row>
    <row r="38" spans="1:17" s="2" customFormat="1" ht="25.15" customHeight="1" thickTop="1">
      <c r="A38" s="2" t="s">
        <v>8</v>
      </c>
      <c r="B38" s="180" t="s">
        <v>219</v>
      </c>
      <c r="C38" s="180"/>
      <c r="D38" s="180"/>
      <c r="E38" s="180"/>
      <c r="F38" s="180"/>
      <c r="G38" s="180"/>
      <c r="H38" s="180"/>
      <c r="I38" s="179"/>
      <c r="J38" s="179"/>
      <c r="K38" s="179"/>
      <c r="L38" s="179"/>
      <c r="M38" s="179"/>
      <c r="N38" s="179"/>
      <c r="O38" s="179"/>
      <c r="P38" s="61" t="s">
        <v>77</v>
      </c>
      <c r="Q38" s="77" t="s">
        <v>78</v>
      </c>
    </row>
    <row r="39" spans="1:17" s="2" customFormat="1" ht="24.6" customHeight="1">
      <c r="B39" s="179" t="s">
        <v>220</v>
      </c>
      <c r="C39" s="179"/>
      <c r="D39" s="179"/>
      <c r="E39" s="179"/>
      <c r="F39" s="179"/>
      <c r="G39" s="179"/>
      <c r="H39" s="179"/>
      <c r="I39" s="131"/>
      <c r="J39" s="131"/>
      <c r="K39" s="131"/>
      <c r="L39" s="131"/>
      <c r="M39" s="131"/>
      <c r="N39" s="131"/>
      <c r="O39" s="131"/>
      <c r="P39" s="62"/>
      <c r="Q39" s="77" t="s">
        <v>79</v>
      </c>
    </row>
    <row r="40" spans="1:17" s="2" customFormat="1" ht="24.6" customHeight="1">
      <c r="B40" s="131" t="s">
        <v>221</v>
      </c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</row>
    <row r="41" spans="1:17" s="2" customFormat="1" ht="24.6" customHeight="1">
      <c r="B41" s="131" t="s">
        <v>222</v>
      </c>
      <c r="C41" s="131"/>
      <c r="D41" s="131"/>
      <c r="E41" s="131"/>
      <c r="F41" s="131"/>
      <c r="G41" s="131"/>
      <c r="H41" s="131"/>
      <c r="I41" s="4"/>
      <c r="J41" s="4"/>
      <c r="K41" s="4"/>
      <c r="L41" s="4"/>
      <c r="M41" s="4"/>
      <c r="N41" s="4"/>
      <c r="O41" s="4"/>
    </row>
  </sheetData>
  <mergeCells count="3">
    <mergeCell ref="B1:O1"/>
    <mergeCell ref="L2:O2"/>
    <mergeCell ref="I19:O19"/>
  </mergeCells>
  <phoneticPr fontId="26" type="noConversion"/>
  <conditionalFormatting sqref="G4:G9 N4:N22 G11:G19 G21:G37">
    <cfRule type="cellIs" dxfId="2" priority="2" stopIfTrue="1" operator="lessThan">
      <formula>30</formula>
    </cfRule>
  </conditionalFormatting>
  <printOptions horizontalCentered="1"/>
  <pageMargins left="0.23622047244094499" right="0.23622047244094499" top="0.15748031496063" bottom="0.15748031496063" header="0" footer="0"/>
  <pageSetup scale="62" orientation="portrait" horizontalDpi="180" verticalDpi="18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0B6E0-371C-44AF-9169-EC776A637DF3}">
  <sheetPr>
    <pageSetUpPr fitToPage="1"/>
  </sheetPr>
  <dimension ref="A1:W33"/>
  <sheetViews>
    <sheetView tabSelected="1" topLeftCell="A9" zoomScale="70" zoomScaleNormal="70" workbookViewId="0">
      <selection activeCell="D25" sqref="D25"/>
    </sheetView>
  </sheetViews>
  <sheetFormatPr defaultColWidth="9" defaultRowHeight="16.5"/>
  <cols>
    <col min="1" max="1" width="1.875" style="3" customWidth="1"/>
    <col min="2" max="2" width="10" style="4" customWidth="1"/>
    <col min="3" max="3" width="9.875" style="4" customWidth="1"/>
    <col min="4" max="4" width="10.875" style="4" customWidth="1"/>
    <col min="5" max="5" width="10.5" style="4" customWidth="1"/>
    <col min="6" max="6" width="11" style="4" customWidth="1"/>
    <col min="7" max="7" width="9.125" style="4" customWidth="1"/>
    <col min="8" max="8" width="10.375" style="4" customWidth="1"/>
    <col min="9" max="9" width="10" style="4" customWidth="1"/>
    <col min="10" max="10" width="9.875" style="4" customWidth="1"/>
    <col min="11" max="11" width="10.875" style="4" customWidth="1"/>
    <col min="12" max="12" width="10.5" style="4" customWidth="1"/>
    <col min="13" max="13" width="11" style="4" customWidth="1"/>
    <col min="14" max="14" width="9" style="4" customWidth="1"/>
    <col min="15" max="15" width="10.5" style="4" customWidth="1"/>
    <col min="16" max="16" width="9" style="3" customWidth="1"/>
    <col min="17" max="17" width="19.125" style="3" customWidth="1"/>
    <col min="18" max="18" width="14" style="5" customWidth="1"/>
    <col min="19" max="19" width="16.75" style="3" customWidth="1"/>
    <col min="20" max="256" width="9" style="3"/>
    <col min="257" max="257" width="1.875" style="3" customWidth="1"/>
    <col min="258" max="258" width="10" style="3" customWidth="1"/>
    <col min="259" max="259" width="9.875" style="3" customWidth="1"/>
    <col min="260" max="260" width="10.875" style="3" customWidth="1"/>
    <col min="261" max="261" width="10.5" style="3" customWidth="1"/>
    <col min="262" max="262" width="11" style="3" customWidth="1"/>
    <col min="263" max="263" width="9.125" style="3" customWidth="1"/>
    <col min="264" max="264" width="10.375" style="3" customWidth="1"/>
    <col min="265" max="265" width="10" style="3" customWidth="1"/>
    <col min="266" max="266" width="9.875" style="3" customWidth="1"/>
    <col min="267" max="267" width="10.875" style="3" customWidth="1"/>
    <col min="268" max="268" width="10.5" style="3" customWidth="1"/>
    <col min="269" max="269" width="11" style="3" customWidth="1"/>
    <col min="270" max="270" width="9" style="3"/>
    <col min="271" max="271" width="10.5" style="3" customWidth="1"/>
    <col min="272" max="272" width="9" style="3"/>
    <col min="273" max="273" width="19.125" style="3" customWidth="1"/>
    <col min="274" max="274" width="14" style="3" customWidth="1"/>
    <col min="275" max="275" width="16.75" style="3" customWidth="1"/>
    <col min="276" max="512" width="9" style="3"/>
    <col min="513" max="513" width="1.875" style="3" customWidth="1"/>
    <col min="514" max="514" width="10" style="3" customWidth="1"/>
    <col min="515" max="515" width="9.875" style="3" customWidth="1"/>
    <col min="516" max="516" width="10.875" style="3" customWidth="1"/>
    <col min="517" max="517" width="10.5" style="3" customWidth="1"/>
    <col min="518" max="518" width="11" style="3" customWidth="1"/>
    <col min="519" max="519" width="9.125" style="3" customWidth="1"/>
    <col min="520" max="520" width="10.375" style="3" customWidth="1"/>
    <col min="521" max="521" width="10" style="3" customWidth="1"/>
    <col min="522" max="522" width="9.875" style="3" customWidth="1"/>
    <col min="523" max="523" width="10.875" style="3" customWidth="1"/>
    <col min="524" max="524" width="10.5" style="3" customWidth="1"/>
    <col min="525" max="525" width="11" style="3" customWidth="1"/>
    <col min="526" max="526" width="9" style="3"/>
    <col min="527" max="527" width="10.5" style="3" customWidth="1"/>
    <col min="528" max="528" width="9" style="3"/>
    <col min="529" max="529" width="19.125" style="3" customWidth="1"/>
    <col min="530" max="530" width="14" style="3" customWidth="1"/>
    <col min="531" max="531" width="16.75" style="3" customWidth="1"/>
    <col min="532" max="768" width="9" style="3"/>
    <col min="769" max="769" width="1.875" style="3" customWidth="1"/>
    <col min="770" max="770" width="10" style="3" customWidth="1"/>
    <col min="771" max="771" width="9.875" style="3" customWidth="1"/>
    <col min="772" max="772" width="10.875" style="3" customWidth="1"/>
    <col min="773" max="773" width="10.5" style="3" customWidth="1"/>
    <col min="774" max="774" width="11" style="3" customWidth="1"/>
    <col min="775" max="775" width="9.125" style="3" customWidth="1"/>
    <col min="776" max="776" width="10.375" style="3" customWidth="1"/>
    <col min="777" max="777" width="10" style="3" customWidth="1"/>
    <col min="778" max="778" width="9.875" style="3" customWidth="1"/>
    <col min="779" max="779" width="10.875" style="3" customWidth="1"/>
    <col min="780" max="780" width="10.5" style="3" customWidth="1"/>
    <col min="781" max="781" width="11" style="3" customWidth="1"/>
    <col min="782" max="782" width="9" style="3"/>
    <col min="783" max="783" width="10.5" style="3" customWidth="1"/>
    <col min="784" max="784" width="9" style="3"/>
    <col min="785" max="785" width="19.125" style="3" customWidth="1"/>
    <col min="786" max="786" width="14" style="3" customWidth="1"/>
    <col min="787" max="787" width="16.75" style="3" customWidth="1"/>
    <col min="788" max="1024" width="9" style="3"/>
    <col min="1025" max="1025" width="1.875" style="3" customWidth="1"/>
    <col min="1026" max="1026" width="10" style="3" customWidth="1"/>
    <col min="1027" max="1027" width="9.875" style="3" customWidth="1"/>
    <col min="1028" max="1028" width="10.875" style="3" customWidth="1"/>
    <col min="1029" max="1029" width="10.5" style="3" customWidth="1"/>
    <col min="1030" max="1030" width="11" style="3" customWidth="1"/>
    <col min="1031" max="1031" width="9.125" style="3" customWidth="1"/>
    <col min="1032" max="1032" width="10.375" style="3" customWidth="1"/>
    <col min="1033" max="1033" width="10" style="3" customWidth="1"/>
    <col min="1034" max="1034" width="9.875" style="3" customWidth="1"/>
    <col min="1035" max="1035" width="10.875" style="3" customWidth="1"/>
    <col min="1036" max="1036" width="10.5" style="3" customWidth="1"/>
    <col min="1037" max="1037" width="11" style="3" customWidth="1"/>
    <col min="1038" max="1038" width="9" style="3"/>
    <col min="1039" max="1039" width="10.5" style="3" customWidth="1"/>
    <col min="1040" max="1040" width="9" style="3"/>
    <col min="1041" max="1041" width="19.125" style="3" customWidth="1"/>
    <col min="1042" max="1042" width="14" style="3" customWidth="1"/>
    <col min="1043" max="1043" width="16.75" style="3" customWidth="1"/>
    <col min="1044" max="1280" width="9" style="3"/>
    <col min="1281" max="1281" width="1.875" style="3" customWidth="1"/>
    <col min="1282" max="1282" width="10" style="3" customWidth="1"/>
    <col min="1283" max="1283" width="9.875" style="3" customWidth="1"/>
    <col min="1284" max="1284" width="10.875" style="3" customWidth="1"/>
    <col min="1285" max="1285" width="10.5" style="3" customWidth="1"/>
    <col min="1286" max="1286" width="11" style="3" customWidth="1"/>
    <col min="1287" max="1287" width="9.125" style="3" customWidth="1"/>
    <col min="1288" max="1288" width="10.375" style="3" customWidth="1"/>
    <col min="1289" max="1289" width="10" style="3" customWidth="1"/>
    <col min="1290" max="1290" width="9.875" style="3" customWidth="1"/>
    <col min="1291" max="1291" width="10.875" style="3" customWidth="1"/>
    <col min="1292" max="1292" width="10.5" style="3" customWidth="1"/>
    <col min="1293" max="1293" width="11" style="3" customWidth="1"/>
    <col min="1294" max="1294" width="9" style="3"/>
    <col min="1295" max="1295" width="10.5" style="3" customWidth="1"/>
    <col min="1296" max="1296" width="9" style="3"/>
    <col min="1297" max="1297" width="19.125" style="3" customWidth="1"/>
    <col min="1298" max="1298" width="14" style="3" customWidth="1"/>
    <col min="1299" max="1299" width="16.75" style="3" customWidth="1"/>
    <col min="1300" max="1536" width="9" style="3"/>
    <col min="1537" max="1537" width="1.875" style="3" customWidth="1"/>
    <col min="1538" max="1538" width="10" style="3" customWidth="1"/>
    <col min="1539" max="1539" width="9.875" style="3" customWidth="1"/>
    <col min="1540" max="1540" width="10.875" style="3" customWidth="1"/>
    <col min="1541" max="1541" width="10.5" style="3" customWidth="1"/>
    <col min="1542" max="1542" width="11" style="3" customWidth="1"/>
    <col min="1543" max="1543" width="9.125" style="3" customWidth="1"/>
    <col min="1544" max="1544" width="10.375" style="3" customWidth="1"/>
    <col min="1545" max="1545" width="10" style="3" customWidth="1"/>
    <col min="1546" max="1546" width="9.875" style="3" customWidth="1"/>
    <col min="1547" max="1547" width="10.875" style="3" customWidth="1"/>
    <col min="1548" max="1548" width="10.5" style="3" customWidth="1"/>
    <col min="1549" max="1549" width="11" style="3" customWidth="1"/>
    <col min="1550" max="1550" width="9" style="3"/>
    <col min="1551" max="1551" width="10.5" style="3" customWidth="1"/>
    <col min="1552" max="1552" width="9" style="3"/>
    <col min="1553" max="1553" width="19.125" style="3" customWidth="1"/>
    <col min="1554" max="1554" width="14" style="3" customWidth="1"/>
    <col min="1555" max="1555" width="16.75" style="3" customWidth="1"/>
    <col min="1556" max="1792" width="9" style="3"/>
    <col min="1793" max="1793" width="1.875" style="3" customWidth="1"/>
    <col min="1794" max="1794" width="10" style="3" customWidth="1"/>
    <col min="1795" max="1795" width="9.875" style="3" customWidth="1"/>
    <col min="1796" max="1796" width="10.875" style="3" customWidth="1"/>
    <col min="1797" max="1797" width="10.5" style="3" customWidth="1"/>
    <col min="1798" max="1798" width="11" style="3" customWidth="1"/>
    <col min="1799" max="1799" width="9.125" style="3" customWidth="1"/>
    <col min="1800" max="1800" width="10.375" style="3" customWidth="1"/>
    <col min="1801" max="1801" width="10" style="3" customWidth="1"/>
    <col min="1802" max="1802" width="9.875" style="3" customWidth="1"/>
    <col min="1803" max="1803" width="10.875" style="3" customWidth="1"/>
    <col min="1804" max="1804" width="10.5" style="3" customWidth="1"/>
    <col min="1805" max="1805" width="11" style="3" customWidth="1"/>
    <col min="1806" max="1806" width="9" style="3"/>
    <col min="1807" max="1807" width="10.5" style="3" customWidth="1"/>
    <col min="1808" max="1808" width="9" style="3"/>
    <col min="1809" max="1809" width="19.125" style="3" customWidth="1"/>
    <col min="1810" max="1810" width="14" style="3" customWidth="1"/>
    <col min="1811" max="1811" width="16.75" style="3" customWidth="1"/>
    <col min="1812" max="2048" width="9" style="3"/>
    <col min="2049" max="2049" width="1.875" style="3" customWidth="1"/>
    <col min="2050" max="2050" width="10" style="3" customWidth="1"/>
    <col min="2051" max="2051" width="9.875" style="3" customWidth="1"/>
    <col min="2052" max="2052" width="10.875" style="3" customWidth="1"/>
    <col min="2053" max="2053" width="10.5" style="3" customWidth="1"/>
    <col min="2054" max="2054" width="11" style="3" customWidth="1"/>
    <col min="2055" max="2055" width="9.125" style="3" customWidth="1"/>
    <col min="2056" max="2056" width="10.375" style="3" customWidth="1"/>
    <col min="2057" max="2057" width="10" style="3" customWidth="1"/>
    <col min="2058" max="2058" width="9.875" style="3" customWidth="1"/>
    <col min="2059" max="2059" width="10.875" style="3" customWidth="1"/>
    <col min="2060" max="2060" width="10.5" style="3" customWidth="1"/>
    <col min="2061" max="2061" width="11" style="3" customWidth="1"/>
    <col min="2062" max="2062" width="9" style="3"/>
    <col min="2063" max="2063" width="10.5" style="3" customWidth="1"/>
    <col min="2064" max="2064" width="9" style="3"/>
    <col min="2065" max="2065" width="19.125" style="3" customWidth="1"/>
    <col min="2066" max="2066" width="14" style="3" customWidth="1"/>
    <col min="2067" max="2067" width="16.75" style="3" customWidth="1"/>
    <col min="2068" max="2304" width="9" style="3"/>
    <col min="2305" max="2305" width="1.875" style="3" customWidth="1"/>
    <col min="2306" max="2306" width="10" style="3" customWidth="1"/>
    <col min="2307" max="2307" width="9.875" style="3" customWidth="1"/>
    <col min="2308" max="2308" width="10.875" style="3" customWidth="1"/>
    <col min="2309" max="2309" width="10.5" style="3" customWidth="1"/>
    <col min="2310" max="2310" width="11" style="3" customWidth="1"/>
    <col min="2311" max="2311" width="9.125" style="3" customWidth="1"/>
    <col min="2312" max="2312" width="10.375" style="3" customWidth="1"/>
    <col min="2313" max="2313" width="10" style="3" customWidth="1"/>
    <col min="2314" max="2314" width="9.875" style="3" customWidth="1"/>
    <col min="2315" max="2315" width="10.875" style="3" customWidth="1"/>
    <col min="2316" max="2316" width="10.5" style="3" customWidth="1"/>
    <col min="2317" max="2317" width="11" style="3" customWidth="1"/>
    <col min="2318" max="2318" width="9" style="3"/>
    <col min="2319" max="2319" width="10.5" style="3" customWidth="1"/>
    <col min="2320" max="2320" width="9" style="3"/>
    <col min="2321" max="2321" width="19.125" style="3" customWidth="1"/>
    <col min="2322" max="2322" width="14" style="3" customWidth="1"/>
    <col min="2323" max="2323" width="16.75" style="3" customWidth="1"/>
    <col min="2324" max="2560" width="9" style="3"/>
    <col min="2561" max="2561" width="1.875" style="3" customWidth="1"/>
    <col min="2562" max="2562" width="10" style="3" customWidth="1"/>
    <col min="2563" max="2563" width="9.875" style="3" customWidth="1"/>
    <col min="2564" max="2564" width="10.875" style="3" customWidth="1"/>
    <col min="2565" max="2565" width="10.5" style="3" customWidth="1"/>
    <col min="2566" max="2566" width="11" style="3" customWidth="1"/>
    <col min="2567" max="2567" width="9.125" style="3" customWidth="1"/>
    <col min="2568" max="2568" width="10.375" style="3" customWidth="1"/>
    <col min="2569" max="2569" width="10" style="3" customWidth="1"/>
    <col min="2570" max="2570" width="9.875" style="3" customWidth="1"/>
    <col min="2571" max="2571" width="10.875" style="3" customWidth="1"/>
    <col min="2572" max="2572" width="10.5" style="3" customWidth="1"/>
    <col min="2573" max="2573" width="11" style="3" customWidth="1"/>
    <col min="2574" max="2574" width="9" style="3"/>
    <col min="2575" max="2575" width="10.5" style="3" customWidth="1"/>
    <col min="2576" max="2576" width="9" style="3"/>
    <col min="2577" max="2577" width="19.125" style="3" customWidth="1"/>
    <col min="2578" max="2578" width="14" style="3" customWidth="1"/>
    <col min="2579" max="2579" width="16.75" style="3" customWidth="1"/>
    <col min="2580" max="2816" width="9" style="3"/>
    <col min="2817" max="2817" width="1.875" style="3" customWidth="1"/>
    <col min="2818" max="2818" width="10" style="3" customWidth="1"/>
    <col min="2819" max="2819" width="9.875" style="3" customWidth="1"/>
    <col min="2820" max="2820" width="10.875" style="3" customWidth="1"/>
    <col min="2821" max="2821" width="10.5" style="3" customWidth="1"/>
    <col min="2822" max="2822" width="11" style="3" customWidth="1"/>
    <col min="2823" max="2823" width="9.125" style="3" customWidth="1"/>
    <col min="2824" max="2824" width="10.375" style="3" customWidth="1"/>
    <col min="2825" max="2825" width="10" style="3" customWidth="1"/>
    <col min="2826" max="2826" width="9.875" style="3" customWidth="1"/>
    <col min="2827" max="2827" width="10.875" style="3" customWidth="1"/>
    <col min="2828" max="2828" width="10.5" style="3" customWidth="1"/>
    <col min="2829" max="2829" width="11" style="3" customWidth="1"/>
    <col min="2830" max="2830" width="9" style="3"/>
    <col min="2831" max="2831" width="10.5" style="3" customWidth="1"/>
    <col min="2832" max="2832" width="9" style="3"/>
    <col min="2833" max="2833" width="19.125" style="3" customWidth="1"/>
    <col min="2834" max="2834" width="14" style="3" customWidth="1"/>
    <col min="2835" max="2835" width="16.75" style="3" customWidth="1"/>
    <col min="2836" max="3072" width="9" style="3"/>
    <col min="3073" max="3073" width="1.875" style="3" customWidth="1"/>
    <col min="3074" max="3074" width="10" style="3" customWidth="1"/>
    <col min="3075" max="3075" width="9.875" style="3" customWidth="1"/>
    <col min="3076" max="3076" width="10.875" style="3" customWidth="1"/>
    <col min="3077" max="3077" width="10.5" style="3" customWidth="1"/>
    <col min="3078" max="3078" width="11" style="3" customWidth="1"/>
    <col min="3079" max="3079" width="9.125" style="3" customWidth="1"/>
    <col min="3080" max="3080" width="10.375" style="3" customWidth="1"/>
    <col min="3081" max="3081" width="10" style="3" customWidth="1"/>
    <col min="3082" max="3082" width="9.875" style="3" customWidth="1"/>
    <col min="3083" max="3083" width="10.875" style="3" customWidth="1"/>
    <col min="3084" max="3084" width="10.5" style="3" customWidth="1"/>
    <col min="3085" max="3085" width="11" style="3" customWidth="1"/>
    <col min="3086" max="3086" width="9" style="3"/>
    <col min="3087" max="3087" width="10.5" style="3" customWidth="1"/>
    <col min="3088" max="3088" width="9" style="3"/>
    <col min="3089" max="3089" width="19.125" style="3" customWidth="1"/>
    <col min="3090" max="3090" width="14" style="3" customWidth="1"/>
    <col min="3091" max="3091" width="16.75" style="3" customWidth="1"/>
    <col min="3092" max="3328" width="9" style="3"/>
    <col min="3329" max="3329" width="1.875" style="3" customWidth="1"/>
    <col min="3330" max="3330" width="10" style="3" customWidth="1"/>
    <col min="3331" max="3331" width="9.875" style="3" customWidth="1"/>
    <col min="3332" max="3332" width="10.875" style="3" customWidth="1"/>
    <col min="3333" max="3333" width="10.5" style="3" customWidth="1"/>
    <col min="3334" max="3334" width="11" style="3" customWidth="1"/>
    <col min="3335" max="3335" width="9.125" style="3" customWidth="1"/>
    <col min="3336" max="3336" width="10.375" style="3" customWidth="1"/>
    <col min="3337" max="3337" width="10" style="3" customWidth="1"/>
    <col min="3338" max="3338" width="9.875" style="3" customWidth="1"/>
    <col min="3339" max="3339" width="10.875" style="3" customWidth="1"/>
    <col min="3340" max="3340" width="10.5" style="3" customWidth="1"/>
    <col min="3341" max="3341" width="11" style="3" customWidth="1"/>
    <col min="3342" max="3342" width="9" style="3"/>
    <col min="3343" max="3343" width="10.5" style="3" customWidth="1"/>
    <col min="3344" max="3344" width="9" style="3"/>
    <col min="3345" max="3345" width="19.125" style="3" customWidth="1"/>
    <col min="3346" max="3346" width="14" style="3" customWidth="1"/>
    <col min="3347" max="3347" width="16.75" style="3" customWidth="1"/>
    <col min="3348" max="3584" width="9" style="3"/>
    <col min="3585" max="3585" width="1.875" style="3" customWidth="1"/>
    <col min="3586" max="3586" width="10" style="3" customWidth="1"/>
    <col min="3587" max="3587" width="9.875" style="3" customWidth="1"/>
    <col min="3588" max="3588" width="10.875" style="3" customWidth="1"/>
    <col min="3589" max="3589" width="10.5" style="3" customWidth="1"/>
    <col min="3590" max="3590" width="11" style="3" customWidth="1"/>
    <col min="3591" max="3591" width="9.125" style="3" customWidth="1"/>
    <col min="3592" max="3592" width="10.375" style="3" customWidth="1"/>
    <col min="3593" max="3593" width="10" style="3" customWidth="1"/>
    <col min="3594" max="3594" width="9.875" style="3" customWidth="1"/>
    <col min="3595" max="3595" width="10.875" style="3" customWidth="1"/>
    <col min="3596" max="3596" width="10.5" style="3" customWidth="1"/>
    <col min="3597" max="3597" width="11" style="3" customWidth="1"/>
    <col min="3598" max="3598" width="9" style="3"/>
    <col min="3599" max="3599" width="10.5" style="3" customWidth="1"/>
    <col min="3600" max="3600" width="9" style="3"/>
    <col min="3601" max="3601" width="19.125" style="3" customWidth="1"/>
    <col min="3602" max="3602" width="14" style="3" customWidth="1"/>
    <col min="3603" max="3603" width="16.75" style="3" customWidth="1"/>
    <col min="3604" max="3840" width="9" style="3"/>
    <col min="3841" max="3841" width="1.875" style="3" customWidth="1"/>
    <col min="3842" max="3842" width="10" style="3" customWidth="1"/>
    <col min="3843" max="3843" width="9.875" style="3" customWidth="1"/>
    <col min="3844" max="3844" width="10.875" style="3" customWidth="1"/>
    <col min="3845" max="3845" width="10.5" style="3" customWidth="1"/>
    <col min="3846" max="3846" width="11" style="3" customWidth="1"/>
    <col min="3847" max="3847" width="9.125" style="3" customWidth="1"/>
    <col min="3848" max="3848" width="10.375" style="3" customWidth="1"/>
    <col min="3849" max="3849" width="10" style="3" customWidth="1"/>
    <col min="3850" max="3850" width="9.875" style="3" customWidth="1"/>
    <col min="3851" max="3851" width="10.875" style="3" customWidth="1"/>
    <col min="3852" max="3852" width="10.5" style="3" customWidth="1"/>
    <col min="3853" max="3853" width="11" style="3" customWidth="1"/>
    <col min="3854" max="3854" width="9" style="3"/>
    <col min="3855" max="3855" width="10.5" style="3" customWidth="1"/>
    <col min="3856" max="3856" width="9" style="3"/>
    <col min="3857" max="3857" width="19.125" style="3" customWidth="1"/>
    <col min="3858" max="3858" width="14" style="3" customWidth="1"/>
    <col min="3859" max="3859" width="16.75" style="3" customWidth="1"/>
    <col min="3860" max="4096" width="9" style="3"/>
    <col min="4097" max="4097" width="1.875" style="3" customWidth="1"/>
    <col min="4098" max="4098" width="10" style="3" customWidth="1"/>
    <col min="4099" max="4099" width="9.875" style="3" customWidth="1"/>
    <col min="4100" max="4100" width="10.875" style="3" customWidth="1"/>
    <col min="4101" max="4101" width="10.5" style="3" customWidth="1"/>
    <col min="4102" max="4102" width="11" style="3" customWidth="1"/>
    <col min="4103" max="4103" width="9.125" style="3" customWidth="1"/>
    <col min="4104" max="4104" width="10.375" style="3" customWidth="1"/>
    <col min="4105" max="4105" width="10" style="3" customWidth="1"/>
    <col min="4106" max="4106" width="9.875" style="3" customWidth="1"/>
    <col min="4107" max="4107" width="10.875" style="3" customWidth="1"/>
    <col min="4108" max="4108" width="10.5" style="3" customWidth="1"/>
    <col min="4109" max="4109" width="11" style="3" customWidth="1"/>
    <col min="4110" max="4110" width="9" style="3"/>
    <col min="4111" max="4111" width="10.5" style="3" customWidth="1"/>
    <col min="4112" max="4112" width="9" style="3"/>
    <col min="4113" max="4113" width="19.125" style="3" customWidth="1"/>
    <col min="4114" max="4114" width="14" style="3" customWidth="1"/>
    <col min="4115" max="4115" width="16.75" style="3" customWidth="1"/>
    <col min="4116" max="4352" width="9" style="3"/>
    <col min="4353" max="4353" width="1.875" style="3" customWidth="1"/>
    <col min="4354" max="4354" width="10" style="3" customWidth="1"/>
    <col min="4355" max="4355" width="9.875" style="3" customWidth="1"/>
    <col min="4356" max="4356" width="10.875" style="3" customWidth="1"/>
    <col min="4357" max="4357" width="10.5" style="3" customWidth="1"/>
    <col min="4358" max="4358" width="11" style="3" customWidth="1"/>
    <col min="4359" max="4359" width="9.125" style="3" customWidth="1"/>
    <col min="4360" max="4360" width="10.375" style="3" customWidth="1"/>
    <col min="4361" max="4361" width="10" style="3" customWidth="1"/>
    <col min="4362" max="4362" width="9.875" style="3" customWidth="1"/>
    <col min="4363" max="4363" width="10.875" style="3" customWidth="1"/>
    <col min="4364" max="4364" width="10.5" style="3" customWidth="1"/>
    <col min="4365" max="4365" width="11" style="3" customWidth="1"/>
    <col min="4366" max="4366" width="9" style="3"/>
    <col min="4367" max="4367" width="10.5" style="3" customWidth="1"/>
    <col min="4368" max="4368" width="9" style="3"/>
    <col min="4369" max="4369" width="19.125" style="3" customWidth="1"/>
    <col min="4370" max="4370" width="14" style="3" customWidth="1"/>
    <col min="4371" max="4371" width="16.75" style="3" customWidth="1"/>
    <col min="4372" max="4608" width="9" style="3"/>
    <col min="4609" max="4609" width="1.875" style="3" customWidth="1"/>
    <col min="4610" max="4610" width="10" style="3" customWidth="1"/>
    <col min="4611" max="4611" width="9.875" style="3" customWidth="1"/>
    <col min="4612" max="4612" width="10.875" style="3" customWidth="1"/>
    <col min="4613" max="4613" width="10.5" style="3" customWidth="1"/>
    <col min="4614" max="4614" width="11" style="3" customWidth="1"/>
    <col min="4615" max="4615" width="9.125" style="3" customWidth="1"/>
    <col min="4616" max="4616" width="10.375" style="3" customWidth="1"/>
    <col min="4617" max="4617" width="10" style="3" customWidth="1"/>
    <col min="4618" max="4618" width="9.875" style="3" customWidth="1"/>
    <col min="4619" max="4619" width="10.875" style="3" customWidth="1"/>
    <col min="4620" max="4620" width="10.5" style="3" customWidth="1"/>
    <col min="4621" max="4621" width="11" style="3" customWidth="1"/>
    <col min="4622" max="4622" width="9" style="3"/>
    <col min="4623" max="4623" width="10.5" style="3" customWidth="1"/>
    <col min="4624" max="4624" width="9" style="3"/>
    <col min="4625" max="4625" width="19.125" style="3" customWidth="1"/>
    <col min="4626" max="4626" width="14" style="3" customWidth="1"/>
    <col min="4627" max="4627" width="16.75" style="3" customWidth="1"/>
    <col min="4628" max="4864" width="9" style="3"/>
    <col min="4865" max="4865" width="1.875" style="3" customWidth="1"/>
    <col min="4866" max="4866" width="10" style="3" customWidth="1"/>
    <col min="4867" max="4867" width="9.875" style="3" customWidth="1"/>
    <col min="4868" max="4868" width="10.875" style="3" customWidth="1"/>
    <col min="4869" max="4869" width="10.5" style="3" customWidth="1"/>
    <col min="4870" max="4870" width="11" style="3" customWidth="1"/>
    <col min="4871" max="4871" width="9.125" style="3" customWidth="1"/>
    <col min="4872" max="4872" width="10.375" style="3" customWidth="1"/>
    <col min="4873" max="4873" width="10" style="3" customWidth="1"/>
    <col min="4874" max="4874" width="9.875" style="3" customWidth="1"/>
    <col min="4875" max="4875" width="10.875" style="3" customWidth="1"/>
    <col min="4876" max="4876" width="10.5" style="3" customWidth="1"/>
    <col min="4877" max="4877" width="11" style="3" customWidth="1"/>
    <col min="4878" max="4878" width="9" style="3"/>
    <col min="4879" max="4879" width="10.5" style="3" customWidth="1"/>
    <col min="4880" max="4880" width="9" style="3"/>
    <col min="4881" max="4881" width="19.125" style="3" customWidth="1"/>
    <col min="4882" max="4882" width="14" style="3" customWidth="1"/>
    <col min="4883" max="4883" width="16.75" style="3" customWidth="1"/>
    <col min="4884" max="5120" width="9" style="3"/>
    <col min="5121" max="5121" width="1.875" style="3" customWidth="1"/>
    <col min="5122" max="5122" width="10" style="3" customWidth="1"/>
    <col min="5123" max="5123" width="9.875" style="3" customWidth="1"/>
    <col min="5124" max="5124" width="10.875" style="3" customWidth="1"/>
    <col min="5125" max="5125" width="10.5" style="3" customWidth="1"/>
    <col min="5126" max="5126" width="11" style="3" customWidth="1"/>
    <col min="5127" max="5127" width="9.125" style="3" customWidth="1"/>
    <col min="5128" max="5128" width="10.375" style="3" customWidth="1"/>
    <col min="5129" max="5129" width="10" style="3" customWidth="1"/>
    <col min="5130" max="5130" width="9.875" style="3" customWidth="1"/>
    <col min="5131" max="5131" width="10.875" style="3" customWidth="1"/>
    <col min="5132" max="5132" width="10.5" style="3" customWidth="1"/>
    <col min="5133" max="5133" width="11" style="3" customWidth="1"/>
    <col min="5134" max="5134" width="9" style="3"/>
    <col min="5135" max="5135" width="10.5" style="3" customWidth="1"/>
    <col min="5136" max="5136" width="9" style="3"/>
    <col min="5137" max="5137" width="19.125" style="3" customWidth="1"/>
    <col min="5138" max="5138" width="14" style="3" customWidth="1"/>
    <col min="5139" max="5139" width="16.75" style="3" customWidth="1"/>
    <col min="5140" max="5376" width="9" style="3"/>
    <col min="5377" max="5377" width="1.875" style="3" customWidth="1"/>
    <col min="5378" max="5378" width="10" style="3" customWidth="1"/>
    <col min="5379" max="5379" width="9.875" style="3" customWidth="1"/>
    <col min="5380" max="5380" width="10.875" style="3" customWidth="1"/>
    <col min="5381" max="5381" width="10.5" style="3" customWidth="1"/>
    <col min="5382" max="5382" width="11" style="3" customWidth="1"/>
    <col min="5383" max="5383" width="9.125" style="3" customWidth="1"/>
    <col min="5384" max="5384" width="10.375" style="3" customWidth="1"/>
    <col min="5385" max="5385" width="10" style="3" customWidth="1"/>
    <col min="5386" max="5386" width="9.875" style="3" customWidth="1"/>
    <col min="5387" max="5387" width="10.875" style="3" customWidth="1"/>
    <col min="5388" max="5388" width="10.5" style="3" customWidth="1"/>
    <col min="5389" max="5389" width="11" style="3" customWidth="1"/>
    <col min="5390" max="5390" width="9" style="3"/>
    <col min="5391" max="5391" width="10.5" style="3" customWidth="1"/>
    <col min="5392" max="5392" width="9" style="3"/>
    <col min="5393" max="5393" width="19.125" style="3" customWidth="1"/>
    <col min="5394" max="5394" width="14" style="3" customWidth="1"/>
    <col min="5395" max="5395" width="16.75" style="3" customWidth="1"/>
    <col min="5396" max="5632" width="9" style="3"/>
    <col min="5633" max="5633" width="1.875" style="3" customWidth="1"/>
    <col min="5634" max="5634" width="10" style="3" customWidth="1"/>
    <col min="5635" max="5635" width="9.875" style="3" customWidth="1"/>
    <col min="5636" max="5636" width="10.875" style="3" customWidth="1"/>
    <col min="5637" max="5637" width="10.5" style="3" customWidth="1"/>
    <col min="5638" max="5638" width="11" style="3" customWidth="1"/>
    <col min="5639" max="5639" width="9.125" style="3" customWidth="1"/>
    <col min="5640" max="5640" width="10.375" style="3" customWidth="1"/>
    <col min="5641" max="5641" width="10" style="3" customWidth="1"/>
    <col min="5642" max="5642" width="9.875" style="3" customWidth="1"/>
    <col min="5643" max="5643" width="10.875" style="3" customWidth="1"/>
    <col min="5644" max="5644" width="10.5" style="3" customWidth="1"/>
    <col min="5645" max="5645" width="11" style="3" customWidth="1"/>
    <col min="5646" max="5646" width="9" style="3"/>
    <col min="5647" max="5647" width="10.5" style="3" customWidth="1"/>
    <col min="5648" max="5648" width="9" style="3"/>
    <col min="5649" max="5649" width="19.125" style="3" customWidth="1"/>
    <col min="5650" max="5650" width="14" style="3" customWidth="1"/>
    <col min="5651" max="5651" width="16.75" style="3" customWidth="1"/>
    <col min="5652" max="5888" width="9" style="3"/>
    <col min="5889" max="5889" width="1.875" style="3" customWidth="1"/>
    <col min="5890" max="5890" width="10" style="3" customWidth="1"/>
    <col min="5891" max="5891" width="9.875" style="3" customWidth="1"/>
    <col min="5892" max="5892" width="10.875" style="3" customWidth="1"/>
    <col min="5893" max="5893" width="10.5" style="3" customWidth="1"/>
    <col min="5894" max="5894" width="11" style="3" customWidth="1"/>
    <col min="5895" max="5895" width="9.125" style="3" customWidth="1"/>
    <col min="5896" max="5896" width="10.375" style="3" customWidth="1"/>
    <col min="5897" max="5897" width="10" style="3" customWidth="1"/>
    <col min="5898" max="5898" width="9.875" style="3" customWidth="1"/>
    <col min="5899" max="5899" width="10.875" style="3" customWidth="1"/>
    <col min="5900" max="5900" width="10.5" style="3" customWidth="1"/>
    <col min="5901" max="5901" width="11" style="3" customWidth="1"/>
    <col min="5902" max="5902" width="9" style="3"/>
    <col min="5903" max="5903" width="10.5" style="3" customWidth="1"/>
    <col min="5904" max="5904" width="9" style="3"/>
    <col min="5905" max="5905" width="19.125" style="3" customWidth="1"/>
    <col min="5906" max="5906" width="14" style="3" customWidth="1"/>
    <col min="5907" max="5907" width="16.75" style="3" customWidth="1"/>
    <col min="5908" max="6144" width="9" style="3"/>
    <col min="6145" max="6145" width="1.875" style="3" customWidth="1"/>
    <col min="6146" max="6146" width="10" style="3" customWidth="1"/>
    <col min="6147" max="6147" width="9.875" style="3" customWidth="1"/>
    <col min="6148" max="6148" width="10.875" style="3" customWidth="1"/>
    <col min="6149" max="6149" width="10.5" style="3" customWidth="1"/>
    <col min="6150" max="6150" width="11" style="3" customWidth="1"/>
    <col min="6151" max="6151" width="9.125" style="3" customWidth="1"/>
    <col min="6152" max="6152" width="10.375" style="3" customWidth="1"/>
    <col min="6153" max="6153" width="10" style="3" customWidth="1"/>
    <col min="6154" max="6154" width="9.875" style="3" customWidth="1"/>
    <col min="6155" max="6155" width="10.875" style="3" customWidth="1"/>
    <col min="6156" max="6156" width="10.5" style="3" customWidth="1"/>
    <col min="6157" max="6157" width="11" style="3" customWidth="1"/>
    <col min="6158" max="6158" width="9" style="3"/>
    <col min="6159" max="6159" width="10.5" style="3" customWidth="1"/>
    <col min="6160" max="6160" width="9" style="3"/>
    <col min="6161" max="6161" width="19.125" style="3" customWidth="1"/>
    <col min="6162" max="6162" width="14" style="3" customWidth="1"/>
    <col min="6163" max="6163" width="16.75" style="3" customWidth="1"/>
    <col min="6164" max="6400" width="9" style="3"/>
    <col min="6401" max="6401" width="1.875" style="3" customWidth="1"/>
    <col min="6402" max="6402" width="10" style="3" customWidth="1"/>
    <col min="6403" max="6403" width="9.875" style="3" customWidth="1"/>
    <col min="6404" max="6404" width="10.875" style="3" customWidth="1"/>
    <col min="6405" max="6405" width="10.5" style="3" customWidth="1"/>
    <col min="6406" max="6406" width="11" style="3" customWidth="1"/>
    <col min="6407" max="6407" width="9.125" style="3" customWidth="1"/>
    <col min="6408" max="6408" width="10.375" style="3" customWidth="1"/>
    <col min="6409" max="6409" width="10" style="3" customWidth="1"/>
    <col min="6410" max="6410" width="9.875" style="3" customWidth="1"/>
    <col min="6411" max="6411" width="10.875" style="3" customWidth="1"/>
    <col min="6412" max="6412" width="10.5" style="3" customWidth="1"/>
    <col min="6413" max="6413" width="11" style="3" customWidth="1"/>
    <col min="6414" max="6414" width="9" style="3"/>
    <col min="6415" max="6415" width="10.5" style="3" customWidth="1"/>
    <col min="6416" max="6416" width="9" style="3"/>
    <col min="6417" max="6417" width="19.125" style="3" customWidth="1"/>
    <col min="6418" max="6418" width="14" style="3" customWidth="1"/>
    <col min="6419" max="6419" width="16.75" style="3" customWidth="1"/>
    <col min="6420" max="6656" width="9" style="3"/>
    <col min="6657" max="6657" width="1.875" style="3" customWidth="1"/>
    <col min="6658" max="6658" width="10" style="3" customWidth="1"/>
    <col min="6659" max="6659" width="9.875" style="3" customWidth="1"/>
    <col min="6660" max="6660" width="10.875" style="3" customWidth="1"/>
    <col min="6661" max="6661" width="10.5" style="3" customWidth="1"/>
    <col min="6662" max="6662" width="11" style="3" customWidth="1"/>
    <col min="6663" max="6663" width="9.125" style="3" customWidth="1"/>
    <col min="6664" max="6664" width="10.375" style="3" customWidth="1"/>
    <col min="6665" max="6665" width="10" style="3" customWidth="1"/>
    <col min="6666" max="6666" width="9.875" style="3" customWidth="1"/>
    <col min="6667" max="6667" width="10.875" style="3" customWidth="1"/>
    <col min="6668" max="6668" width="10.5" style="3" customWidth="1"/>
    <col min="6669" max="6669" width="11" style="3" customWidth="1"/>
    <col min="6670" max="6670" width="9" style="3"/>
    <col min="6671" max="6671" width="10.5" style="3" customWidth="1"/>
    <col min="6672" max="6672" width="9" style="3"/>
    <col min="6673" max="6673" width="19.125" style="3" customWidth="1"/>
    <col min="6674" max="6674" width="14" style="3" customWidth="1"/>
    <col min="6675" max="6675" width="16.75" style="3" customWidth="1"/>
    <col min="6676" max="6912" width="9" style="3"/>
    <col min="6913" max="6913" width="1.875" style="3" customWidth="1"/>
    <col min="6914" max="6914" width="10" style="3" customWidth="1"/>
    <col min="6915" max="6915" width="9.875" style="3" customWidth="1"/>
    <col min="6916" max="6916" width="10.875" style="3" customWidth="1"/>
    <col min="6917" max="6917" width="10.5" style="3" customWidth="1"/>
    <col min="6918" max="6918" width="11" style="3" customWidth="1"/>
    <col min="6919" max="6919" width="9.125" style="3" customWidth="1"/>
    <col min="6920" max="6920" width="10.375" style="3" customWidth="1"/>
    <col min="6921" max="6921" width="10" style="3" customWidth="1"/>
    <col min="6922" max="6922" width="9.875" style="3" customWidth="1"/>
    <col min="6923" max="6923" width="10.875" style="3" customWidth="1"/>
    <col min="6924" max="6924" width="10.5" style="3" customWidth="1"/>
    <col min="6925" max="6925" width="11" style="3" customWidth="1"/>
    <col min="6926" max="6926" width="9" style="3"/>
    <col min="6927" max="6927" width="10.5" style="3" customWidth="1"/>
    <col min="6928" max="6928" width="9" style="3"/>
    <col min="6929" max="6929" width="19.125" style="3" customWidth="1"/>
    <col min="6930" max="6930" width="14" style="3" customWidth="1"/>
    <col min="6931" max="6931" width="16.75" style="3" customWidth="1"/>
    <col min="6932" max="7168" width="9" style="3"/>
    <col min="7169" max="7169" width="1.875" style="3" customWidth="1"/>
    <col min="7170" max="7170" width="10" style="3" customWidth="1"/>
    <col min="7171" max="7171" width="9.875" style="3" customWidth="1"/>
    <col min="7172" max="7172" width="10.875" style="3" customWidth="1"/>
    <col min="7173" max="7173" width="10.5" style="3" customWidth="1"/>
    <col min="7174" max="7174" width="11" style="3" customWidth="1"/>
    <col min="7175" max="7175" width="9.125" style="3" customWidth="1"/>
    <col min="7176" max="7176" width="10.375" style="3" customWidth="1"/>
    <col min="7177" max="7177" width="10" style="3" customWidth="1"/>
    <col min="7178" max="7178" width="9.875" style="3" customWidth="1"/>
    <col min="7179" max="7179" width="10.875" style="3" customWidth="1"/>
    <col min="7180" max="7180" width="10.5" style="3" customWidth="1"/>
    <col min="7181" max="7181" width="11" style="3" customWidth="1"/>
    <col min="7182" max="7182" width="9" style="3"/>
    <col min="7183" max="7183" width="10.5" style="3" customWidth="1"/>
    <col min="7184" max="7184" width="9" style="3"/>
    <col min="7185" max="7185" width="19.125" style="3" customWidth="1"/>
    <col min="7186" max="7186" width="14" style="3" customWidth="1"/>
    <col min="7187" max="7187" width="16.75" style="3" customWidth="1"/>
    <col min="7188" max="7424" width="9" style="3"/>
    <col min="7425" max="7425" width="1.875" style="3" customWidth="1"/>
    <col min="7426" max="7426" width="10" style="3" customWidth="1"/>
    <col min="7427" max="7427" width="9.875" style="3" customWidth="1"/>
    <col min="7428" max="7428" width="10.875" style="3" customWidth="1"/>
    <col min="7429" max="7429" width="10.5" style="3" customWidth="1"/>
    <col min="7430" max="7430" width="11" style="3" customWidth="1"/>
    <col min="7431" max="7431" width="9.125" style="3" customWidth="1"/>
    <col min="7432" max="7432" width="10.375" style="3" customWidth="1"/>
    <col min="7433" max="7433" width="10" style="3" customWidth="1"/>
    <col min="7434" max="7434" width="9.875" style="3" customWidth="1"/>
    <col min="7435" max="7435" width="10.875" style="3" customWidth="1"/>
    <col min="7436" max="7436" width="10.5" style="3" customWidth="1"/>
    <col min="7437" max="7437" width="11" style="3" customWidth="1"/>
    <col min="7438" max="7438" width="9" style="3"/>
    <col min="7439" max="7439" width="10.5" style="3" customWidth="1"/>
    <col min="7440" max="7440" width="9" style="3"/>
    <col min="7441" max="7441" width="19.125" style="3" customWidth="1"/>
    <col min="7442" max="7442" width="14" style="3" customWidth="1"/>
    <col min="7443" max="7443" width="16.75" style="3" customWidth="1"/>
    <col min="7444" max="7680" width="9" style="3"/>
    <col min="7681" max="7681" width="1.875" style="3" customWidth="1"/>
    <col min="7682" max="7682" width="10" style="3" customWidth="1"/>
    <col min="7683" max="7683" width="9.875" style="3" customWidth="1"/>
    <col min="7684" max="7684" width="10.875" style="3" customWidth="1"/>
    <col min="7685" max="7685" width="10.5" style="3" customWidth="1"/>
    <col min="7686" max="7686" width="11" style="3" customWidth="1"/>
    <col min="7687" max="7687" width="9.125" style="3" customWidth="1"/>
    <col min="7688" max="7688" width="10.375" style="3" customWidth="1"/>
    <col min="7689" max="7689" width="10" style="3" customWidth="1"/>
    <col min="7690" max="7690" width="9.875" style="3" customWidth="1"/>
    <col min="7691" max="7691" width="10.875" style="3" customWidth="1"/>
    <col min="7692" max="7692" width="10.5" style="3" customWidth="1"/>
    <col min="7693" max="7693" width="11" style="3" customWidth="1"/>
    <col min="7694" max="7694" width="9" style="3"/>
    <col min="7695" max="7695" width="10.5" style="3" customWidth="1"/>
    <col min="7696" max="7696" width="9" style="3"/>
    <col min="7697" max="7697" width="19.125" style="3" customWidth="1"/>
    <col min="7698" max="7698" width="14" style="3" customWidth="1"/>
    <col min="7699" max="7699" width="16.75" style="3" customWidth="1"/>
    <col min="7700" max="7936" width="9" style="3"/>
    <col min="7937" max="7937" width="1.875" style="3" customWidth="1"/>
    <col min="7938" max="7938" width="10" style="3" customWidth="1"/>
    <col min="7939" max="7939" width="9.875" style="3" customWidth="1"/>
    <col min="7940" max="7940" width="10.875" style="3" customWidth="1"/>
    <col min="7941" max="7941" width="10.5" style="3" customWidth="1"/>
    <col min="7942" max="7942" width="11" style="3" customWidth="1"/>
    <col min="7943" max="7943" width="9.125" style="3" customWidth="1"/>
    <col min="7944" max="7944" width="10.375" style="3" customWidth="1"/>
    <col min="7945" max="7945" width="10" style="3" customWidth="1"/>
    <col min="7946" max="7946" width="9.875" style="3" customWidth="1"/>
    <col min="7947" max="7947" width="10.875" style="3" customWidth="1"/>
    <col min="7948" max="7948" width="10.5" style="3" customWidth="1"/>
    <col min="7949" max="7949" width="11" style="3" customWidth="1"/>
    <col min="7950" max="7950" width="9" style="3"/>
    <col min="7951" max="7951" width="10.5" style="3" customWidth="1"/>
    <col min="7952" max="7952" width="9" style="3"/>
    <col min="7953" max="7953" width="19.125" style="3" customWidth="1"/>
    <col min="7954" max="7954" width="14" style="3" customWidth="1"/>
    <col min="7955" max="7955" width="16.75" style="3" customWidth="1"/>
    <col min="7956" max="8192" width="9" style="3"/>
    <col min="8193" max="8193" width="1.875" style="3" customWidth="1"/>
    <col min="8194" max="8194" width="10" style="3" customWidth="1"/>
    <col min="8195" max="8195" width="9.875" style="3" customWidth="1"/>
    <col min="8196" max="8196" width="10.875" style="3" customWidth="1"/>
    <col min="8197" max="8197" width="10.5" style="3" customWidth="1"/>
    <col min="8198" max="8198" width="11" style="3" customWidth="1"/>
    <col min="8199" max="8199" width="9.125" style="3" customWidth="1"/>
    <col min="8200" max="8200" width="10.375" style="3" customWidth="1"/>
    <col min="8201" max="8201" width="10" style="3" customWidth="1"/>
    <col min="8202" max="8202" width="9.875" style="3" customWidth="1"/>
    <col min="8203" max="8203" width="10.875" style="3" customWidth="1"/>
    <col min="8204" max="8204" width="10.5" style="3" customWidth="1"/>
    <col min="8205" max="8205" width="11" style="3" customWidth="1"/>
    <col min="8206" max="8206" width="9" style="3"/>
    <col min="8207" max="8207" width="10.5" style="3" customWidth="1"/>
    <col min="8208" max="8208" width="9" style="3"/>
    <col min="8209" max="8209" width="19.125" style="3" customWidth="1"/>
    <col min="8210" max="8210" width="14" style="3" customWidth="1"/>
    <col min="8211" max="8211" width="16.75" style="3" customWidth="1"/>
    <col min="8212" max="8448" width="9" style="3"/>
    <col min="8449" max="8449" width="1.875" style="3" customWidth="1"/>
    <col min="8450" max="8450" width="10" style="3" customWidth="1"/>
    <col min="8451" max="8451" width="9.875" style="3" customWidth="1"/>
    <col min="8452" max="8452" width="10.875" style="3" customWidth="1"/>
    <col min="8453" max="8453" width="10.5" style="3" customWidth="1"/>
    <col min="8454" max="8454" width="11" style="3" customWidth="1"/>
    <col min="8455" max="8455" width="9.125" style="3" customWidth="1"/>
    <col min="8456" max="8456" width="10.375" style="3" customWidth="1"/>
    <col min="8457" max="8457" width="10" style="3" customWidth="1"/>
    <col min="8458" max="8458" width="9.875" style="3" customWidth="1"/>
    <col min="8459" max="8459" width="10.875" style="3" customWidth="1"/>
    <col min="8460" max="8460" width="10.5" style="3" customWidth="1"/>
    <col min="8461" max="8461" width="11" style="3" customWidth="1"/>
    <col min="8462" max="8462" width="9" style="3"/>
    <col min="8463" max="8463" width="10.5" style="3" customWidth="1"/>
    <col min="8464" max="8464" width="9" style="3"/>
    <col min="8465" max="8465" width="19.125" style="3" customWidth="1"/>
    <col min="8466" max="8466" width="14" style="3" customWidth="1"/>
    <col min="8467" max="8467" width="16.75" style="3" customWidth="1"/>
    <col min="8468" max="8704" width="9" style="3"/>
    <col min="8705" max="8705" width="1.875" style="3" customWidth="1"/>
    <col min="8706" max="8706" width="10" style="3" customWidth="1"/>
    <col min="8707" max="8707" width="9.875" style="3" customWidth="1"/>
    <col min="8708" max="8708" width="10.875" style="3" customWidth="1"/>
    <col min="8709" max="8709" width="10.5" style="3" customWidth="1"/>
    <col min="8710" max="8710" width="11" style="3" customWidth="1"/>
    <col min="8711" max="8711" width="9.125" style="3" customWidth="1"/>
    <col min="8712" max="8712" width="10.375" style="3" customWidth="1"/>
    <col min="8713" max="8713" width="10" style="3" customWidth="1"/>
    <col min="8714" max="8714" width="9.875" style="3" customWidth="1"/>
    <col min="8715" max="8715" width="10.875" style="3" customWidth="1"/>
    <col min="8716" max="8716" width="10.5" style="3" customWidth="1"/>
    <col min="8717" max="8717" width="11" style="3" customWidth="1"/>
    <col min="8718" max="8718" width="9" style="3"/>
    <col min="8719" max="8719" width="10.5" style="3" customWidth="1"/>
    <col min="8720" max="8720" width="9" style="3"/>
    <col min="8721" max="8721" width="19.125" style="3" customWidth="1"/>
    <col min="8722" max="8722" width="14" style="3" customWidth="1"/>
    <col min="8723" max="8723" width="16.75" style="3" customWidth="1"/>
    <col min="8724" max="8960" width="9" style="3"/>
    <col min="8961" max="8961" width="1.875" style="3" customWidth="1"/>
    <col min="8962" max="8962" width="10" style="3" customWidth="1"/>
    <col min="8963" max="8963" width="9.875" style="3" customWidth="1"/>
    <col min="8964" max="8964" width="10.875" style="3" customWidth="1"/>
    <col min="8965" max="8965" width="10.5" style="3" customWidth="1"/>
    <col min="8966" max="8966" width="11" style="3" customWidth="1"/>
    <col min="8967" max="8967" width="9.125" style="3" customWidth="1"/>
    <col min="8968" max="8968" width="10.375" style="3" customWidth="1"/>
    <col min="8969" max="8969" width="10" style="3" customWidth="1"/>
    <col min="8970" max="8970" width="9.875" style="3" customWidth="1"/>
    <col min="8971" max="8971" width="10.875" style="3" customWidth="1"/>
    <col min="8972" max="8972" width="10.5" style="3" customWidth="1"/>
    <col min="8973" max="8973" width="11" style="3" customWidth="1"/>
    <col min="8974" max="8974" width="9" style="3"/>
    <col min="8975" max="8975" width="10.5" style="3" customWidth="1"/>
    <col min="8976" max="8976" width="9" style="3"/>
    <col min="8977" max="8977" width="19.125" style="3" customWidth="1"/>
    <col min="8978" max="8978" width="14" style="3" customWidth="1"/>
    <col min="8979" max="8979" width="16.75" style="3" customWidth="1"/>
    <col min="8980" max="9216" width="9" style="3"/>
    <col min="9217" max="9217" width="1.875" style="3" customWidth="1"/>
    <col min="9218" max="9218" width="10" style="3" customWidth="1"/>
    <col min="9219" max="9219" width="9.875" style="3" customWidth="1"/>
    <col min="9220" max="9220" width="10.875" style="3" customWidth="1"/>
    <col min="9221" max="9221" width="10.5" style="3" customWidth="1"/>
    <col min="9222" max="9222" width="11" style="3" customWidth="1"/>
    <col min="9223" max="9223" width="9.125" style="3" customWidth="1"/>
    <col min="9224" max="9224" width="10.375" style="3" customWidth="1"/>
    <col min="9225" max="9225" width="10" style="3" customWidth="1"/>
    <col min="9226" max="9226" width="9.875" style="3" customWidth="1"/>
    <col min="9227" max="9227" width="10.875" style="3" customWidth="1"/>
    <col min="9228" max="9228" width="10.5" style="3" customWidth="1"/>
    <col min="9229" max="9229" width="11" style="3" customWidth="1"/>
    <col min="9230" max="9230" width="9" style="3"/>
    <col min="9231" max="9231" width="10.5" style="3" customWidth="1"/>
    <col min="9232" max="9232" width="9" style="3"/>
    <col min="9233" max="9233" width="19.125" style="3" customWidth="1"/>
    <col min="9234" max="9234" width="14" style="3" customWidth="1"/>
    <col min="9235" max="9235" width="16.75" style="3" customWidth="1"/>
    <col min="9236" max="9472" width="9" style="3"/>
    <col min="9473" max="9473" width="1.875" style="3" customWidth="1"/>
    <col min="9474" max="9474" width="10" style="3" customWidth="1"/>
    <col min="9475" max="9475" width="9.875" style="3" customWidth="1"/>
    <col min="9476" max="9476" width="10.875" style="3" customWidth="1"/>
    <col min="9477" max="9477" width="10.5" style="3" customWidth="1"/>
    <col min="9478" max="9478" width="11" style="3" customWidth="1"/>
    <col min="9479" max="9479" width="9.125" style="3" customWidth="1"/>
    <col min="9480" max="9480" width="10.375" style="3" customWidth="1"/>
    <col min="9481" max="9481" width="10" style="3" customWidth="1"/>
    <col min="9482" max="9482" width="9.875" style="3" customWidth="1"/>
    <col min="9483" max="9483" width="10.875" style="3" customWidth="1"/>
    <col min="9484" max="9484" width="10.5" style="3" customWidth="1"/>
    <col min="9485" max="9485" width="11" style="3" customWidth="1"/>
    <col min="9486" max="9486" width="9" style="3"/>
    <col min="9487" max="9487" width="10.5" style="3" customWidth="1"/>
    <col min="9488" max="9488" width="9" style="3"/>
    <col min="9489" max="9489" width="19.125" style="3" customWidth="1"/>
    <col min="9490" max="9490" width="14" style="3" customWidth="1"/>
    <col min="9491" max="9491" width="16.75" style="3" customWidth="1"/>
    <col min="9492" max="9728" width="9" style="3"/>
    <col min="9729" max="9729" width="1.875" style="3" customWidth="1"/>
    <col min="9730" max="9730" width="10" style="3" customWidth="1"/>
    <col min="9731" max="9731" width="9.875" style="3" customWidth="1"/>
    <col min="9732" max="9732" width="10.875" style="3" customWidth="1"/>
    <col min="9733" max="9733" width="10.5" style="3" customWidth="1"/>
    <col min="9734" max="9734" width="11" style="3" customWidth="1"/>
    <col min="9735" max="9735" width="9.125" style="3" customWidth="1"/>
    <col min="9736" max="9736" width="10.375" style="3" customWidth="1"/>
    <col min="9737" max="9737" width="10" style="3" customWidth="1"/>
    <col min="9738" max="9738" width="9.875" style="3" customWidth="1"/>
    <col min="9739" max="9739" width="10.875" style="3" customWidth="1"/>
    <col min="9740" max="9740" width="10.5" style="3" customWidth="1"/>
    <col min="9741" max="9741" width="11" style="3" customWidth="1"/>
    <col min="9742" max="9742" width="9" style="3"/>
    <col min="9743" max="9743" width="10.5" style="3" customWidth="1"/>
    <col min="9744" max="9744" width="9" style="3"/>
    <col min="9745" max="9745" width="19.125" style="3" customWidth="1"/>
    <col min="9746" max="9746" width="14" style="3" customWidth="1"/>
    <col min="9747" max="9747" width="16.75" style="3" customWidth="1"/>
    <col min="9748" max="9984" width="9" style="3"/>
    <col min="9985" max="9985" width="1.875" style="3" customWidth="1"/>
    <col min="9986" max="9986" width="10" style="3" customWidth="1"/>
    <col min="9987" max="9987" width="9.875" style="3" customWidth="1"/>
    <col min="9988" max="9988" width="10.875" style="3" customWidth="1"/>
    <col min="9989" max="9989" width="10.5" style="3" customWidth="1"/>
    <col min="9990" max="9990" width="11" style="3" customWidth="1"/>
    <col min="9991" max="9991" width="9.125" style="3" customWidth="1"/>
    <col min="9992" max="9992" width="10.375" style="3" customWidth="1"/>
    <col min="9993" max="9993" width="10" style="3" customWidth="1"/>
    <col min="9994" max="9994" width="9.875" style="3" customWidth="1"/>
    <col min="9995" max="9995" width="10.875" style="3" customWidth="1"/>
    <col min="9996" max="9996" width="10.5" style="3" customWidth="1"/>
    <col min="9997" max="9997" width="11" style="3" customWidth="1"/>
    <col min="9998" max="9998" width="9" style="3"/>
    <col min="9999" max="9999" width="10.5" style="3" customWidth="1"/>
    <col min="10000" max="10000" width="9" style="3"/>
    <col min="10001" max="10001" width="19.125" style="3" customWidth="1"/>
    <col min="10002" max="10002" width="14" style="3" customWidth="1"/>
    <col min="10003" max="10003" width="16.75" style="3" customWidth="1"/>
    <col min="10004" max="10240" width="9" style="3"/>
    <col min="10241" max="10241" width="1.875" style="3" customWidth="1"/>
    <col min="10242" max="10242" width="10" style="3" customWidth="1"/>
    <col min="10243" max="10243" width="9.875" style="3" customWidth="1"/>
    <col min="10244" max="10244" width="10.875" style="3" customWidth="1"/>
    <col min="10245" max="10245" width="10.5" style="3" customWidth="1"/>
    <col min="10246" max="10246" width="11" style="3" customWidth="1"/>
    <col min="10247" max="10247" width="9.125" style="3" customWidth="1"/>
    <col min="10248" max="10248" width="10.375" style="3" customWidth="1"/>
    <col min="10249" max="10249" width="10" style="3" customWidth="1"/>
    <col min="10250" max="10250" width="9.875" style="3" customWidth="1"/>
    <col min="10251" max="10251" width="10.875" style="3" customWidth="1"/>
    <col min="10252" max="10252" width="10.5" style="3" customWidth="1"/>
    <col min="10253" max="10253" width="11" style="3" customWidth="1"/>
    <col min="10254" max="10254" width="9" style="3"/>
    <col min="10255" max="10255" width="10.5" style="3" customWidth="1"/>
    <col min="10256" max="10256" width="9" style="3"/>
    <col min="10257" max="10257" width="19.125" style="3" customWidth="1"/>
    <col min="10258" max="10258" width="14" style="3" customWidth="1"/>
    <col min="10259" max="10259" width="16.75" style="3" customWidth="1"/>
    <col min="10260" max="10496" width="9" style="3"/>
    <col min="10497" max="10497" width="1.875" style="3" customWidth="1"/>
    <col min="10498" max="10498" width="10" style="3" customWidth="1"/>
    <col min="10499" max="10499" width="9.875" style="3" customWidth="1"/>
    <col min="10500" max="10500" width="10.875" style="3" customWidth="1"/>
    <col min="10501" max="10501" width="10.5" style="3" customWidth="1"/>
    <col min="10502" max="10502" width="11" style="3" customWidth="1"/>
    <col min="10503" max="10503" width="9.125" style="3" customWidth="1"/>
    <col min="10504" max="10504" width="10.375" style="3" customWidth="1"/>
    <col min="10505" max="10505" width="10" style="3" customWidth="1"/>
    <col min="10506" max="10506" width="9.875" style="3" customWidth="1"/>
    <col min="10507" max="10507" width="10.875" style="3" customWidth="1"/>
    <col min="10508" max="10508" width="10.5" style="3" customWidth="1"/>
    <col min="10509" max="10509" width="11" style="3" customWidth="1"/>
    <col min="10510" max="10510" width="9" style="3"/>
    <col min="10511" max="10511" width="10.5" style="3" customWidth="1"/>
    <col min="10512" max="10512" width="9" style="3"/>
    <col min="10513" max="10513" width="19.125" style="3" customWidth="1"/>
    <col min="10514" max="10514" width="14" style="3" customWidth="1"/>
    <col min="10515" max="10515" width="16.75" style="3" customWidth="1"/>
    <col min="10516" max="10752" width="9" style="3"/>
    <col min="10753" max="10753" width="1.875" style="3" customWidth="1"/>
    <col min="10754" max="10754" width="10" style="3" customWidth="1"/>
    <col min="10755" max="10755" width="9.875" style="3" customWidth="1"/>
    <col min="10756" max="10756" width="10.875" style="3" customWidth="1"/>
    <col min="10757" max="10757" width="10.5" style="3" customWidth="1"/>
    <col min="10758" max="10758" width="11" style="3" customWidth="1"/>
    <col min="10759" max="10759" width="9.125" style="3" customWidth="1"/>
    <col min="10760" max="10760" width="10.375" style="3" customWidth="1"/>
    <col min="10761" max="10761" width="10" style="3" customWidth="1"/>
    <col min="10762" max="10762" width="9.875" style="3" customWidth="1"/>
    <col min="10763" max="10763" width="10.875" style="3" customWidth="1"/>
    <col min="10764" max="10764" width="10.5" style="3" customWidth="1"/>
    <col min="10765" max="10765" width="11" style="3" customWidth="1"/>
    <col min="10766" max="10766" width="9" style="3"/>
    <col min="10767" max="10767" width="10.5" style="3" customWidth="1"/>
    <col min="10768" max="10768" width="9" style="3"/>
    <col min="10769" max="10769" width="19.125" style="3" customWidth="1"/>
    <col min="10770" max="10770" width="14" style="3" customWidth="1"/>
    <col min="10771" max="10771" width="16.75" style="3" customWidth="1"/>
    <col min="10772" max="11008" width="9" style="3"/>
    <col min="11009" max="11009" width="1.875" style="3" customWidth="1"/>
    <col min="11010" max="11010" width="10" style="3" customWidth="1"/>
    <col min="11011" max="11011" width="9.875" style="3" customWidth="1"/>
    <col min="11012" max="11012" width="10.875" style="3" customWidth="1"/>
    <col min="11013" max="11013" width="10.5" style="3" customWidth="1"/>
    <col min="11014" max="11014" width="11" style="3" customWidth="1"/>
    <col min="11015" max="11015" width="9.125" style="3" customWidth="1"/>
    <col min="11016" max="11016" width="10.375" style="3" customWidth="1"/>
    <col min="11017" max="11017" width="10" style="3" customWidth="1"/>
    <col min="11018" max="11018" width="9.875" style="3" customWidth="1"/>
    <col min="11019" max="11019" width="10.875" style="3" customWidth="1"/>
    <col min="11020" max="11020" width="10.5" style="3" customWidth="1"/>
    <col min="11021" max="11021" width="11" style="3" customWidth="1"/>
    <col min="11022" max="11022" width="9" style="3"/>
    <col min="11023" max="11023" width="10.5" style="3" customWidth="1"/>
    <col min="11024" max="11024" width="9" style="3"/>
    <col min="11025" max="11025" width="19.125" style="3" customWidth="1"/>
    <col min="11026" max="11026" width="14" style="3" customWidth="1"/>
    <col min="11027" max="11027" width="16.75" style="3" customWidth="1"/>
    <col min="11028" max="11264" width="9" style="3"/>
    <col min="11265" max="11265" width="1.875" style="3" customWidth="1"/>
    <col min="11266" max="11266" width="10" style="3" customWidth="1"/>
    <col min="11267" max="11267" width="9.875" style="3" customWidth="1"/>
    <col min="11268" max="11268" width="10.875" style="3" customWidth="1"/>
    <col min="11269" max="11269" width="10.5" style="3" customWidth="1"/>
    <col min="11270" max="11270" width="11" style="3" customWidth="1"/>
    <col min="11271" max="11271" width="9.125" style="3" customWidth="1"/>
    <col min="11272" max="11272" width="10.375" style="3" customWidth="1"/>
    <col min="11273" max="11273" width="10" style="3" customWidth="1"/>
    <col min="11274" max="11274" width="9.875" style="3" customWidth="1"/>
    <col min="11275" max="11275" width="10.875" style="3" customWidth="1"/>
    <col min="11276" max="11276" width="10.5" style="3" customWidth="1"/>
    <col min="11277" max="11277" width="11" style="3" customWidth="1"/>
    <col min="11278" max="11278" width="9" style="3"/>
    <col min="11279" max="11279" width="10.5" style="3" customWidth="1"/>
    <col min="11280" max="11280" width="9" style="3"/>
    <col min="11281" max="11281" width="19.125" style="3" customWidth="1"/>
    <col min="11282" max="11282" width="14" style="3" customWidth="1"/>
    <col min="11283" max="11283" width="16.75" style="3" customWidth="1"/>
    <col min="11284" max="11520" width="9" style="3"/>
    <col min="11521" max="11521" width="1.875" style="3" customWidth="1"/>
    <col min="11522" max="11522" width="10" style="3" customWidth="1"/>
    <col min="11523" max="11523" width="9.875" style="3" customWidth="1"/>
    <col min="11524" max="11524" width="10.875" style="3" customWidth="1"/>
    <col min="11525" max="11525" width="10.5" style="3" customWidth="1"/>
    <col min="11526" max="11526" width="11" style="3" customWidth="1"/>
    <col min="11527" max="11527" width="9.125" style="3" customWidth="1"/>
    <col min="11528" max="11528" width="10.375" style="3" customWidth="1"/>
    <col min="11529" max="11529" width="10" style="3" customWidth="1"/>
    <col min="11530" max="11530" width="9.875" style="3" customWidth="1"/>
    <col min="11531" max="11531" width="10.875" style="3" customWidth="1"/>
    <col min="11532" max="11532" width="10.5" style="3" customWidth="1"/>
    <col min="11533" max="11533" width="11" style="3" customWidth="1"/>
    <col min="11534" max="11534" width="9" style="3"/>
    <col min="11535" max="11535" width="10.5" style="3" customWidth="1"/>
    <col min="11536" max="11536" width="9" style="3"/>
    <col min="11537" max="11537" width="19.125" style="3" customWidth="1"/>
    <col min="11538" max="11538" width="14" style="3" customWidth="1"/>
    <col min="11539" max="11539" width="16.75" style="3" customWidth="1"/>
    <col min="11540" max="11776" width="9" style="3"/>
    <col min="11777" max="11777" width="1.875" style="3" customWidth="1"/>
    <col min="11778" max="11778" width="10" style="3" customWidth="1"/>
    <col min="11779" max="11779" width="9.875" style="3" customWidth="1"/>
    <col min="11780" max="11780" width="10.875" style="3" customWidth="1"/>
    <col min="11781" max="11781" width="10.5" style="3" customWidth="1"/>
    <col min="11782" max="11782" width="11" style="3" customWidth="1"/>
    <col min="11783" max="11783" width="9.125" style="3" customWidth="1"/>
    <col min="11784" max="11784" width="10.375" style="3" customWidth="1"/>
    <col min="11785" max="11785" width="10" style="3" customWidth="1"/>
    <col min="11786" max="11786" width="9.875" style="3" customWidth="1"/>
    <col min="11787" max="11787" width="10.875" style="3" customWidth="1"/>
    <col min="11788" max="11788" width="10.5" style="3" customWidth="1"/>
    <col min="11789" max="11789" width="11" style="3" customWidth="1"/>
    <col min="11790" max="11790" width="9" style="3"/>
    <col min="11791" max="11791" width="10.5" style="3" customWidth="1"/>
    <col min="11792" max="11792" width="9" style="3"/>
    <col min="11793" max="11793" width="19.125" style="3" customWidth="1"/>
    <col min="11794" max="11794" width="14" style="3" customWidth="1"/>
    <col min="11795" max="11795" width="16.75" style="3" customWidth="1"/>
    <col min="11796" max="12032" width="9" style="3"/>
    <col min="12033" max="12033" width="1.875" style="3" customWidth="1"/>
    <col min="12034" max="12034" width="10" style="3" customWidth="1"/>
    <col min="12035" max="12035" width="9.875" style="3" customWidth="1"/>
    <col min="12036" max="12036" width="10.875" style="3" customWidth="1"/>
    <col min="12037" max="12037" width="10.5" style="3" customWidth="1"/>
    <col min="12038" max="12038" width="11" style="3" customWidth="1"/>
    <col min="12039" max="12039" width="9.125" style="3" customWidth="1"/>
    <col min="12040" max="12040" width="10.375" style="3" customWidth="1"/>
    <col min="12041" max="12041" width="10" style="3" customWidth="1"/>
    <col min="12042" max="12042" width="9.875" style="3" customWidth="1"/>
    <col min="12043" max="12043" width="10.875" style="3" customWidth="1"/>
    <col min="12044" max="12044" width="10.5" style="3" customWidth="1"/>
    <col min="12045" max="12045" width="11" style="3" customWidth="1"/>
    <col min="12046" max="12046" width="9" style="3"/>
    <col min="12047" max="12047" width="10.5" style="3" customWidth="1"/>
    <col min="12048" max="12048" width="9" style="3"/>
    <col min="12049" max="12049" width="19.125" style="3" customWidth="1"/>
    <col min="12050" max="12050" width="14" style="3" customWidth="1"/>
    <col min="12051" max="12051" width="16.75" style="3" customWidth="1"/>
    <col min="12052" max="12288" width="9" style="3"/>
    <col min="12289" max="12289" width="1.875" style="3" customWidth="1"/>
    <col min="12290" max="12290" width="10" style="3" customWidth="1"/>
    <col min="12291" max="12291" width="9.875" style="3" customWidth="1"/>
    <col min="12292" max="12292" width="10.875" style="3" customWidth="1"/>
    <col min="12293" max="12293" width="10.5" style="3" customWidth="1"/>
    <col min="12294" max="12294" width="11" style="3" customWidth="1"/>
    <col min="12295" max="12295" width="9.125" style="3" customWidth="1"/>
    <col min="12296" max="12296" width="10.375" style="3" customWidth="1"/>
    <col min="12297" max="12297" width="10" style="3" customWidth="1"/>
    <col min="12298" max="12298" width="9.875" style="3" customWidth="1"/>
    <col min="12299" max="12299" width="10.875" style="3" customWidth="1"/>
    <col min="12300" max="12300" width="10.5" style="3" customWidth="1"/>
    <col min="12301" max="12301" width="11" style="3" customWidth="1"/>
    <col min="12302" max="12302" width="9" style="3"/>
    <col min="12303" max="12303" width="10.5" style="3" customWidth="1"/>
    <col min="12304" max="12304" width="9" style="3"/>
    <col min="12305" max="12305" width="19.125" style="3" customWidth="1"/>
    <col min="12306" max="12306" width="14" style="3" customWidth="1"/>
    <col min="12307" max="12307" width="16.75" style="3" customWidth="1"/>
    <col min="12308" max="12544" width="9" style="3"/>
    <col min="12545" max="12545" width="1.875" style="3" customWidth="1"/>
    <col min="12546" max="12546" width="10" style="3" customWidth="1"/>
    <col min="12547" max="12547" width="9.875" style="3" customWidth="1"/>
    <col min="12548" max="12548" width="10.875" style="3" customWidth="1"/>
    <col min="12549" max="12549" width="10.5" style="3" customWidth="1"/>
    <col min="12550" max="12550" width="11" style="3" customWidth="1"/>
    <col min="12551" max="12551" width="9.125" style="3" customWidth="1"/>
    <col min="12552" max="12552" width="10.375" style="3" customWidth="1"/>
    <col min="12553" max="12553" width="10" style="3" customWidth="1"/>
    <col min="12554" max="12554" width="9.875" style="3" customWidth="1"/>
    <col min="12555" max="12555" width="10.875" style="3" customWidth="1"/>
    <col min="12556" max="12556" width="10.5" style="3" customWidth="1"/>
    <col min="12557" max="12557" width="11" style="3" customWidth="1"/>
    <col min="12558" max="12558" width="9" style="3"/>
    <col min="12559" max="12559" width="10.5" style="3" customWidth="1"/>
    <col min="12560" max="12560" width="9" style="3"/>
    <col min="12561" max="12561" width="19.125" style="3" customWidth="1"/>
    <col min="12562" max="12562" width="14" style="3" customWidth="1"/>
    <col min="12563" max="12563" width="16.75" style="3" customWidth="1"/>
    <col min="12564" max="12800" width="9" style="3"/>
    <col min="12801" max="12801" width="1.875" style="3" customWidth="1"/>
    <col min="12802" max="12802" width="10" style="3" customWidth="1"/>
    <col min="12803" max="12803" width="9.875" style="3" customWidth="1"/>
    <col min="12804" max="12804" width="10.875" style="3" customWidth="1"/>
    <col min="12805" max="12805" width="10.5" style="3" customWidth="1"/>
    <col min="12806" max="12806" width="11" style="3" customWidth="1"/>
    <col min="12807" max="12807" width="9.125" style="3" customWidth="1"/>
    <col min="12808" max="12808" width="10.375" style="3" customWidth="1"/>
    <col min="12809" max="12809" width="10" style="3" customWidth="1"/>
    <col min="12810" max="12810" width="9.875" style="3" customWidth="1"/>
    <col min="12811" max="12811" width="10.875" style="3" customWidth="1"/>
    <col min="12812" max="12812" width="10.5" style="3" customWidth="1"/>
    <col min="12813" max="12813" width="11" style="3" customWidth="1"/>
    <col min="12814" max="12814" width="9" style="3"/>
    <col min="12815" max="12815" width="10.5" style="3" customWidth="1"/>
    <col min="12816" max="12816" width="9" style="3"/>
    <col min="12817" max="12817" width="19.125" style="3" customWidth="1"/>
    <col min="12818" max="12818" width="14" style="3" customWidth="1"/>
    <col min="12819" max="12819" width="16.75" style="3" customWidth="1"/>
    <col min="12820" max="13056" width="9" style="3"/>
    <col min="13057" max="13057" width="1.875" style="3" customWidth="1"/>
    <col min="13058" max="13058" width="10" style="3" customWidth="1"/>
    <col min="13059" max="13059" width="9.875" style="3" customWidth="1"/>
    <col min="13060" max="13060" width="10.875" style="3" customWidth="1"/>
    <col min="13061" max="13061" width="10.5" style="3" customWidth="1"/>
    <col min="13062" max="13062" width="11" style="3" customWidth="1"/>
    <col min="13063" max="13063" width="9.125" style="3" customWidth="1"/>
    <col min="13064" max="13064" width="10.375" style="3" customWidth="1"/>
    <col min="13065" max="13065" width="10" style="3" customWidth="1"/>
    <col min="13066" max="13066" width="9.875" style="3" customWidth="1"/>
    <col min="13067" max="13067" width="10.875" style="3" customWidth="1"/>
    <col min="13068" max="13068" width="10.5" style="3" customWidth="1"/>
    <col min="13069" max="13069" width="11" style="3" customWidth="1"/>
    <col min="13070" max="13070" width="9" style="3"/>
    <col min="13071" max="13071" width="10.5" style="3" customWidth="1"/>
    <col min="13072" max="13072" width="9" style="3"/>
    <col min="13073" max="13073" width="19.125" style="3" customWidth="1"/>
    <col min="13074" max="13074" width="14" style="3" customWidth="1"/>
    <col min="13075" max="13075" width="16.75" style="3" customWidth="1"/>
    <col min="13076" max="13312" width="9" style="3"/>
    <col min="13313" max="13313" width="1.875" style="3" customWidth="1"/>
    <col min="13314" max="13314" width="10" style="3" customWidth="1"/>
    <col min="13315" max="13315" width="9.875" style="3" customWidth="1"/>
    <col min="13316" max="13316" width="10.875" style="3" customWidth="1"/>
    <col min="13317" max="13317" width="10.5" style="3" customWidth="1"/>
    <col min="13318" max="13318" width="11" style="3" customWidth="1"/>
    <col min="13319" max="13319" width="9.125" style="3" customWidth="1"/>
    <col min="13320" max="13320" width="10.375" style="3" customWidth="1"/>
    <col min="13321" max="13321" width="10" style="3" customWidth="1"/>
    <col min="13322" max="13322" width="9.875" style="3" customWidth="1"/>
    <col min="13323" max="13323" width="10.875" style="3" customWidth="1"/>
    <col min="13324" max="13324" width="10.5" style="3" customWidth="1"/>
    <col min="13325" max="13325" width="11" style="3" customWidth="1"/>
    <col min="13326" max="13326" width="9" style="3"/>
    <col min="13327" max="13327" width="10.5" style="3" customWidth="1"/>
    <col min="13328" max="13328" width="9" style="3"/>
    <col min="13329" max="13329" width="19.125" style="3" customWidth="1"/>
    <col min="13330" max="13330" width="14" style="3" customWidth="1"/>
    <col min="13331" max="13331" width="16.75" style="3" customWidth="1"/>
    <col min="13332" max="13568" width="9" style="3"/>
    <col min="13569" max="13569" width="1.875" style="3" customWidth="1"/>
    <col min="13570" max="13570" width="10" style="3" customWidth="1"/>
    <col min="13571" max="13571" width="9.875" style="3" customWidth="1"/>
    <col min="13572" max="13572" width="10.875" style="3" customWidth="1"/>
    <col min="13573" max="13573" width="10.5" style="3" customWidth="1"/>
    <col min="13574" max="13574" width="11" style="3" customWidth="1"/>
    <col min="13575" max="13575" width="9.125" style="3" customWidth="1"/>
    <col min="13576" max="13576" width="10.375" style="3" customWidth="1"/>
    <col min="13577" max="13577" width="10" style="3" customWidth="1"/>
    <col min="13578" max="13578" width="9.875" style="3" customWidth="1"/>
    <col min="13579" max="13579" width="10.875" style="3" customWidth="1"/>
    <col min="13580" max="13580" width="10.5" style="3" customWidth="1"/>
    <col min="13581" max="13581" width="11" style="3" customWidth="1"/>
    <col min="13582" max="13582" width="9" style="3"/>
    <col min="13583" max="13583" width="10.5" style="3" customWidth="1"/>
    <col min="13584" max="13584" width="9" style="3"/>
    <col min="13585" max="13585" width="19.125" style="3" customWidth="1"/>
    <col min="13586" max="13586" width="14" style="3" customWidth="1"/>
    <col min="13587" max="13587" width="16.75" style="3" customWidth="1"/>
    <col min="13588" max="13824" width="9" style="3"/>
    <col min="13825" max="13825" width="1.875" style="3" customWidth="1"/>
    <col min="13826" max="13826" width="10" style="3" customWidth="1"/>
    <col min="13827" max="13827" width="9.875" style="3" customWidth="1"/>
    <col min="13828" max="13828" width="10.875" style="3" customWidth="1"/>
    <col min="13829" max="13829" width="10.5" style="3" customWidth="1"/>
    <col min="13830" max="13830" width="11" style="3" customWidth="1"/>
    <col min="13831" max="13831" width="9.125" style="3" customWidth="1"/>
    <col min="13832" max="13832" width="10.375" style="3" customWidth="1"/>
    <col min="13833" max="13833" width="10" style="3" customWidth="1"/>
    <col min="13834" max="13834" width="9.875" style="3" customWidth="1"/>
    <col min="13835" max="13835" width="10.875" style="3" customWidth="1"/>
    <col min="13836" max="13836" width="10.5" style="3" customWidth="1"/>
    <col min="13837" max="13837" width="11" style="3" customWidth="1"/>
    <col min="13838" max="13838" width="9" style="3"/>
    <col min="13839" max="13839" width="10.5" style="3" customWidth="1"/>
    <col min="13840" max="13840" width="9" style="3"/>
    <col min="13841" max="13841" width="19.125" style="3" customWidth="1"/>
    <col min="13842" max="13842" width="14" style="3" customWidth="1"/>
    <col min="13843" max="13843" width="16.75" style="3" customWidth="1"/>
    <col min="13844" max="14080" width="9" style="3"/>
    <col min="14081" max="14081" width="1.875" style="3" customWidth="1"/>
    <col min="14082" max="14082" width="10" style="3" customWidth="1"/>
    <col min="14083" max="14083" width="9.875" style="3" customWidth="1"/>
    <col min="14084" max="14084" width="10.875" style="3" customWidth="1"/>
    <col min="14085" max="14085" width="10.5" style="3" customWidth="1"/>
    <col min="14086" max="14086" width="11" style="3" customWidth="1"/>
    <col min="14087" max="14087" width="9.125" style="3" customWidth="1"/>
    <col min="14088" max="14088" width="10.375" style="3" customWidth="1"/>
    <col min="14089" max="14089" width="10" style="3" customWidth="1"/>
    <col min="14090" max="14090" width="9.875" style="3" customWidth="1"/>
    <col min="14091" max="14091" width="10.875" style="3" customWidth="1"/>
    <col min="14092" max="14092" width="10.5" style="3" customWidth="1"/>
    <col min="14093" max="14093" width="11" style="3" customWidth="1"/>
    <col min="14094" max="14094" width="9" style="3"/>
    <col min="14095" max="14095" width="10.5" style="3" customWidth="1"/>
    <col min="14096" max="14096" width="9" style="3"/>
    <col min="14097" max="14097" width="19.125" style="3" customWidth="1"/>
    <col min="14098" max="14098" width="14" style="3" customWidth="1"/>
    <col min="14099" max="14099" width="16.75" style="3" customWidth="1"/>
    <col min="14100" max="14336" width="9" style="3"/>
    <col min="14337" max="14337" width="1.875" style="3" customWidth="1"/>
    <col min="14338" max="14338" width="10" style="3" customWidth="1"/>
    <col min="14339" max="14339" width="9.875" style="3" customWidth="1"/>
    <col min="14340" max="14340" width="10.875" style="3" customWidth="1"/>
    <col min="14341" max="14341" width="10.5" style="3" customWidth="1"/>
    <col min="14342" max="14342" width="11" style="3" customWidth="1"/>
    <col min="14343" max="14343" width="9.125" style="3" customWidth="1"/>
    <col min="14344" max="14344" width="10.375" style="3" customWidth="1"/>
    <col min="14345" max="14345" width="10" style="3" customWidth="1"/>
    <col min="14346" max="14346" width="9.875" style="3" customWidth="1"/>
    <col min="14347" max="14347" width="10.875" style="3" customWidth="1"/>
    <col min="14348" max="14348" width="10.5" style="3" customWidth="1"/>
    <col min="14349" max="14349" width="11" style="3" customWidth="1"/>
    <col min="14350" max="14350" width="9" style="3"/>
    <col min="14351" max="14351" width="10.5" style="3" customWidth="1"/>
    <col min="14352" max="14352" width="9" style="3"/>
    <col min="14353" max="14353" width="19.125" style="3" customWidth="1"/>
    <col min="14354" max="14354" width="14" style="3" customWidth="1"/>
    <col min="14355" max="14355" width="16.75" style="3" customWidth="1"/>
    <col min="14356" max="14592" width="9" style="3"/>
    <col min="14593" max="14593" width="1.875" style="3" customWidth="1"/>
    <col min="14594" max="14594" width="10" style="3" customWidth="1"/>
    <col min="14595" max="14595" width="9.875" style="3" customWidth="1"/>
    <col min="14596" max="14596" width="10.875" style="3" customWidth="1"/>
    <col min="14597" max="14597" width="10.5" style="3" customWidth="1"/>
    <col min="14598" max="14598" width="11" style="3" customWidth="1"/>
    <col min="14599" max="14599" width="9.125" style="3" customWidth="1"/>
    <col min="14600" max="14600" width="10.375" style="3" customWidth="1"/>
    <col min="14601" max="14601" width="10" style="3" customWidth="1"/>
    <col min="14602" max="14602" width="9.875" style="3" customWidth="1"/>
    <col min="14603" max="14603" width="10.875" style="3" customWidth="1"/>
    <col min="14604" max="14604" width="10.5" style="3" customWidth="1"/>
    <col min="14605" max="14605" width="11" style="3" customWidth="1"/>
    <col min="14606" max="14606" width="9" style="3"/>
    <col min="14607" max="14607" width="10.5" style="3" customWidth="1"/>
    <col min="14608" max="14608" width="9" style="3"/>
    <col min="14609" max="14609" width="19.125" style="3" customWidth="1"/>
    <col min="14610" max="14610" width="14" style="3" customWidth="1"/>
    <col min="14611" max="14611" width="16.75" style="3" customWidth="1"/>
    <col min="14612" max="14848" width="9" style="3"/>
    <col min="14849" max="14849" width="1.875" style="3" customWidth="1"/>
    <col min="14850" max="14850" width="10" style="3" customWidth="1"/>
    <col min="14851" max="14851" width="9.875" style="3" customWidth="1"/>
    <col min="14852" max="14852" width="10.875" style="3" customWidth="1"/>
    <col min="14853" max="14853" width="10.5" style="3" customWidth="1"/>
    <col min="14854" max="14854" width="11" style="3" customWidth="1"/>
    <col min="14855" max="14855" width="9.125" style="3" customWidth="1"/>
    <col min="14856" max="14856" width="10.375" style="3" customWidth="1"/>
    <col min="14857" max="14857" width="10" style="3" customWidth="1"/>
    <col min="14858" max="14858" width="9.875" style="3" customWidth="1"/>
    <col min="14859" max="14859" width="10.875" style="3" customWidth="1"/>
    <col min="14860" max="14860" width="10.5" style="3" customWidth="1"/>
    <col min="14861" max="14861" width="11" style="3" customWidth="1"/>
    <col min="14862" max="14862" width="9" style="3"/>
    <col min="14863" max="14863" width="10.5" style="3" customWidth="1"/>
    <col min="14864" max="14864" width="9" style="3"/>
    <col min="14865" max="14865" width="19.125" style="3" customWidth="1"/>
    <col min="14866" max="14866" width="14" style="3" customWidth="1"/>
    <col min="14867" max="14867" width="16.75" style="3" customWidth="1"/>
    <col min="14868" max="15104" width="9" style="3"/>
    <col min="15105" max="15105" width="1.875" style="3" customWidth="1"/>
    <col min="15106" max="15106" width="10" style="3" customWidth="1"/>
    <col min="15107" max="15107" width="9.875" style="3" customWidth="1"/>
    <col min="15108" max="15108" width="10.875" style="3" customWidth="1"/>
    <col min="15109" max="15109" width="10.5" style="3" customWidth="1"/>
    <col min="15110" max="15110" width="11" style="3" customWidth="1"/>
    <col min="15111" max="15111" width="9.125" style="3" customWidth="1"/>
    <col min="15112" max="15112" width="10.375" style="3" customWidth="1"/>
    <col min="15113" max="15113" width="10" style="3" customWidth="1"/>
    <col min="15114" max="15114" width="9.875" style="3" customWidth="1"/>
    <col min="15115" max="15115" width="10.875" style="3" customWidth="1"/>
    <col min="15116" max="15116" width="10.5" style="3" customWidth="1"/>
    <col min="15117" max="15117" width="11" style="3" customWidth="1"/>
    <col min="15118" max="15118" width="9" style="3"/>
    <col min="15119" max="15119" width="10.5" style="3" customWidth="1"/>
    <col min="15120" max="15120" width="9" style="3"/>
    <col min="15121" max="15121" width="19.125" style="3" customWidth="1"/>
    <col min="15122" max="15122" width="14" style="3" customWidth="1"/>
    <col min="15123" max="15123" width="16.75" style="3" customWidth="1"/>
    <col min="15124" max="15360" width="9" style="3"/>
    <col min="15361" max="15361" width="1.875" style="3" customWidth="1"/>
    <col min="15362" max="15362" width="10" style="3" customWidth="1"/>
    <col min="15363" max="15363" width="9.875" style="3" customWidth="1"/>
    <col min="15364" max="15364" width="10.875" style="3" customWidth="1"/>
    <col min="15365" max="15365" width="10.5" style="3" customWidth="1"/>
    <col min="15366" max="15366" width="11" style="3" customWidth="1"/>
    <col min="15367" max="15367" width="9.125" style="3" customWidth="1"/>
    <col min="15368" max="15368" width="10.375" style="3" customWidth="1"/>
    <col min="15369" max="15369" width="10" style="3" customWidth="1"/>
    <col min="15370" max="15370" width="9.875" style="3" customWidth="1"/>
    <col min="15371" max="15371" width="10.875" style="3" customWidth="1"/>
    <col min="15372" max="15372" width="10.5" style="3" customWidth="1"/>
    <col min="15373" max="15373" width="11" style="3" customWidth="1"/>
    <col min="15374" max="15374" width="9" style="3"/>
    <col min="15375" max="15375" width="10.5" style="3" customWidth="1"/>
    <col min="15376" max="15376" width="9" style="3"/>
    <col min="15377" max="15377" width="19.125" style="3" customWidth="1"/>
    <col min="15378" max="15378" width="14" style="3" customWidth="1"/>
    <col min="15379" max="15379" width="16.75" style="3" customWidth="1"/>
    <col min="15380" max="15616" width="9" style="3"/>
    <col min="15617" max="15617" width="1.875" style="3" customWidth="1"/>
    <col min="15618" max="15618" width="10" style="3" customWidth="1"/>
    <col min="15619" max="15619" width="9.875" style="3" customWidth="1"/>
    <col min="15620" max="15620" width="10.875" style="3" customWidth="1"/>
    <col min="15621" max="15621" width="10.5" style="3" customWidth="1"/>
    <col min="15622" max="15622" width="11" style="3" customWidth="1"/>
    <col min="15623" max="15623" width="9.125" style="3" customWidth="1"/>
    <col min="15624" max="15624" width="10.375" style="3" customWidth="1"/>
    <col min="15625" max="15625" width="10" style="3" customWidth="1"/>
    <col min="15626" max="15626" width="9.875" style="3" customWidth="1"/>
    <col min="15627" max="15627" width="10.875" style="3" customWidth="1"/>
    <col min="15628" max="15628" width="10.5" style="3" customWidth="1"/>
    <col min="15629" max="15629" width="11" style="3" customWidth="1"/>
    <col min="15630" max="15630" width="9" style="3"/>
    <col min="15631" max="15631" width="10.5" style="3" customWidth="1"/>
    <col min="15632" max="15632" width="9" style="3"/>
    <col min="15633" max="15633" width="19.125" style="3" customWidth="1"/>
    <col min="15634" max="15634" width="14" style="3" customWidth="1"/>
    <col min="15635" max="15635" width="16.75" style="3" customWidth="1"/>
    <col min="15636" max="15872" width="9" style="3"/>
    <col min="15873" max="15873" width="1.875" style="3" customWidth="1"/>
    <col min="15874" max="15874" width="10" style="3" customWidth="1"/>
    <col min="15875" max="15875" width="9.875" style="3" customWidth="1"/>
    <col min="15876" max="15876" width="10.875" style="3" customWidth="1"/>
    <col min="15877" max="15877" width="10.5" style="3" customWidth="1"/>
    <col min="15878" max="15878" width="11" style="3" customWidth="1"/>
    <col min="15879" max="15879" width="9.125" style="3" customWidth="1"/>
    <col min="15880" max="15880" width="10.375" style="3" customWidth="1"/>
    <col min="15881" max="15881" width="10" style="3" customWidth="1"/>
    <col min="15882" max="15882" width="9.875" style="3" customWidth="1"/>
    <col min="15883" max="15883" width="10.875" style="3" customWidth="1"/>
    <col min="15884" max="15884" width="10.5" style="3" customWidth="1"/>
    <col min="15885" max="15885" width="11" style="3" customWidth="1"/>
    <col min="15886" max="15886" width="9" style="3"/>
    <col min="15887" max="15887" width="10.5" style="3" customWidth="1"/>
    <col min="15888" max="15888" width="9" style="3"/>
    <col min="15889" max="15889" width="19.125" style="3" customWidth="1"/>
    <col min="15890" max="15890" width="14" style="3" customWidth="1"/>
    <col min="15891" max="15891" width="16.75" style="3" customWidth="1"/>
    <col min="15892" max="16128" width="9" style="3"/>
    <col min="16129" max="16129" width="1.875" style="3" customWidth="1"/>
    <col min="16130" max="16130" width="10" style="3" customWidth="1"/>
    <col min="16131" max="16131" width="9.875" style="3" customWidth="1"/>
    <col min="16132" max="16132" width="10.875" style="3" customWidth="1"/>
    <col min="16133" max="16133" width="10.5" style="3" customWidth="1"/>
    <col min="16134" max="16134" width="11" style="3" customWidth="1"/>
    <col min="16135" max="16135" width="9.125" style="3" customWidth="1"/>
    <col min="16136" max="16136" width="10.375" style="3" customWidth="1"/>
    <col min="16137" max="16137" width="10" style="3" customWidth="1"/>
    <col min="16138" max="16138" width="9.875" style="3" customWidth="1"/>
    <col min="16139" max="16139" width="10.875" style="3" customWidth="1"/>
    <col min="16140" max="16140" width="10.5" style="3" customWidth="1"/>
    <col min="16141" max="16141" width="11" style="3" customWidth="1"/>
    <col min="16142" max="16142" width="9" style="3"/>
    <col min="16143" max="16143" width="10.5" style="3" customWidth="1"/>
    <col min="16144" max="16144" width="9" style="3"/>
    <col min="16145" max="16145" width="19.125" style="3" customWidth="1"/>
    <col min="16146" max="16146" width="14" style="3" customWidth="1"/>
    <col min="16147" max="16147" width="16.75" style="3" customWidth="1"/>
    <col min="16148" max="16384" width="9" style="3"/>
  </cols>
  <sheetData>
    <row r="1" spans="1:23" ht="32.450000000000003" customHeight="1">
      <c r="B1" s="188" t="s">
        <v>0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</row>
    <row r="2" spans="1:23" ht="27" customHeight="1" thickBot="1">
      <c r="H2" s="6"/>
      <c r="L2" s="190" t="s">
        <v>229</v>
      </c>
      <c r="M2" s="190"/>
      <c r="N2" s="190"/>
      <c r="O2" s="190"/>
    </row>
    <row r="3" spans="1:23" s="1" customFormat="1" ht="53.25" customHeight="1" thickTop="1" thickBot="1">
      <c r="B3" s="7" t="s">
        <v>1</v>
      </c>
      <c r="C3" s="8" t="s">
        <v>2</v>
      </c>
      <c r="D3" s="9" t="s">
        <v>3</v>
      </c>
      <c r="E3" s="9" t="s">
        <v>4</v>
      </c>
      <c r="F3" s="9" t="s">
        <v>5</v>
      </c>
      <c r="G3" s="10" t="s">
        <v>6</v>
      </c>
      <c r="H3" s="11" t="s">
        <v>7</v>
      </c>
      <c r="I3" s="40" t="s">
        <v>1</v>
      </c>
      <c r="J3" s="11" t="s">
        <v>2</v>
      </c>
      <c r="K3" s="41" t="s">
        <v>3</v>
      </c>
      <c r="L3" s="164" t="s">
        <v>4</v>
      </c>
      <c r="M3" s="164" t="s">
        <v>5</v>
      </c>
      <c r="N3" s="165" t="s">
        <v>6</v>
      </c>
      <c r="O3" s="42" t="s">
        <v>7</v>
      </c>
      <c r="R3" s="63" t="s">
        <v>8</v>
      </c>
    </row>
    <row r="4" spans="1:23" ht="35.1" customHeight="1">
      <c r="A4" s="3" t="s">
        <v>8</v>
      </c>
      <c r="B4" s="12" t="s">
        <v>80</v>
      </c>
      <c r="C4" s="13" t="s">
        <v>81</v>
      </c>
      <c r="D4" s="14" t="s">
        <v>82</v>
      </c>
      <c r="E4" s="15">
        <f>1800/30*G4</f>
        <v>1800</v>
      </c>
      <c r="F4" s="16">
        <f t="shared" ref="F4:F22" si="0">E4+300</f>
        <v>2100</v>
      </c>
      <c r="G4" s="17">
        <v>30</v>
      </c>
      <c r="H4" s="18" t="str">
        <f>IF(G4&lt;30,"V"," ")</f>
        <v xml:space="preserve"> </v>
      </c>
      <c r="I4" s="43"/>
      <c r="J4" s="166" t="s">
        <v>177</v>
      </c>
      <c r="K4" s="141" t="s">
        <v>175</v>
      </c>
      <c r="L4" s="15">
        <f>1800/30*N4</f>
        <v>1200</v>
      </c>
      <c r="M4" s="16">
        <f>L4+300</f>
        <v>1500</v>
      </c>
      <c r="N4" s="17">
        <v>20</v>
      </c>
      <c r="O4" s="18" t="str">
        <f>IF(N4&lt;30,"V"," ")</f>
        <v>V</v>
      </c>
    </row>
    <row r="5" spans="1:23" ht="35.1" customHeight="1">
      <c r="B5" s="19"/>
      <c r="C5" s="20" t="s">
        <v>85</v>
      </c>
      <c r="D5" s="21" t="s">
        <v>86</v>
      </c>
      <c r="E5" s="15">
        <f t="shared" ref="E5:E23" si="1">1800/30*G5</f>
        <v>1800</v>
      </c>
      <c r="F5" s="22">
        <f t="shared" si="0"/>
        <v>2100</v>
      </c>
      <c r="G5" s="23">
        <v>30</v>
      </c>
      <c r="H5" s="18" t="str">
        <f t="shared" ref="H5:H28" si="2">IF(G5&lt;30,"V"," ")</f>
        <v xml:space="preserve"> </v>
      </c>
      <c r="I5" s="43"/>
      <c r="J5" s="166" t="s">
        <v>178</v>
      </c>
      <c r="K5" s="141" t="s">
        <v>176</v>
      </c>
      <c r="L5" s="15">
        <f>1800/30*N5</f>
        <v>1200</v>
      </c>
      <c r="M5" s="16">
        <f>L5+300</f>
        <v>1500</v>
      </c>
      <c r="N5" s="17">
        <v>20</v>
      </c>
      <c r="O5" s="18" t="str">
        <f>IF(N5&lt;30,"V"," ")</f>
        <v>V</v>
      </c>
      <c r="R5" s="64"/>
    </row>
    <row r="6" spans="1:23" ht="35.1" customHeight="1" thickBot="1">
      <c r="B6" s="25"/>
      <c r="C6" s="26" t="s">
        <v>91</v>
      </c>
      <c r="D6" s="21" t="s">
        <v>92</v>
      </c>
      <c r="E6" s="15">
        <f t="shared" si="1"/>
        <v>1800</v>
      </c>
      <c r="F6" s="22">
        <f t="shared" si="0"/>
        <v>2100</v>
      </c>
      <c r="G6" s="23">
        <v>30</v>
      </c>
      <c r="H6" s="31" t="str">
        <f t="shared" si="2"/>
        <v xml:space="preserve"> </v>
      </c>
      <c r="I6" s="43"/>
      <c r="J6" s="44"/>
      <c r="K6" s="45"/>
      <c r="L6" s="45"/>
      <c r="M6" s="45"/>
      <c r="N6" s="45"/>
      <c r="O6" s="31" t="str">
        <f>IF(G17&lt;30,"V"," ")</f>
        <v xml:space="preserve"> </v>
      </c>
      <c r="R6" s="64"/>
    </row>
    <row r="7" spans="1:23" ht="35.1" customHeight="1" thickTop="1" thickBot="1">
      <c r="B7" s="25"/>
      <c r="C7" s="20" t="s">
        <v>95</v>
      </c>
      <c r="D7" s="21" t="s">
        <v>96</v>
      </c>
      <c r="E7" s="15">
        <f t="shared" si="1"/>
        <v>600</v>
      </c>
      <c r="F7" s="22">
        <f t="shared" si="0"/>
        <v>900</v>
      </c>
      <c r="G7" s="23">
        <v>10</v>
      </c>
      <c r="H7" s="24" t="str">
        <f t="shared" si="2"/>
        <v>V</v>
      </c>
      <c r="I7" s="191" t="s">
        <v>51</v>
      </c>
      <c r="J7" s="192"/>
      <c r="K7" s="192"/>
      <c r="L7" s="192"/>
      <c r="M7" s="192"/>
      <c r="N7" s="192"/>
      <c r="O7" s="193"/>
      <c r="R7" s="65"/>
    </row>
    <row r="8" spans="1:23" ht="35.1" customHeight="1" thickTop="1">
      <c r="B8" s="25"/>
      <c r="C8" s="20" t="s">
        <v>99</v>
      </c>
      <c r="D8" s="21" t="s">
        <v>100</v>
      </c>
      <c r="E8" s="15">
        <f t="shared" si="1"/>
        <v>1800</v>
      </c>
      <c r="F8" s="22">
        <f t="shared" si="0"/>
        <v>2100</v>
      </c>
      <c r="G8" s="23">
        <v>30</v>
      </c>
      <c r="H8" s="24" t="str">
        <f t="shared" si="2"/>
        <v xml:space="preserve"> </v>
      </c>
      <c r="I8" s="46" t="s">
        <v>53</v>
      </c>
      <c r="J8" s="47" t="s">
        <v>120</v>
      </c>
      <c r="K8" s="48" t="s">
        <v>121</v>
      </c>
      <c r="L8" s="15">
        <v>800</v>
      </c>
      <c r="M8" s="16">
        <f t="shared" ref="M8:M20" si="3">L8+300</f>
        <v>1100</v>
      </c>
      <c r="N8" s="17"/>
      <c r="O8" s="49"/>
      <c r="R8" s="65"/>
    </row>
    <row r="9" spans="1:23" ht="35.1" customHeight="1">
      <c r="B9" s="25"/>
      <c r="C9" s="20" t="s">
        <v>103</v>
      </c>
      <c r="D9" s="21" t="s">
        <v>104</v>
      </c>
      <c r="E9" s="15">
        <f t="shared" si="1"/>
        <v>1800</v>
      </c>
      <c r="F9" s="22">
        <f t="shared" si="0"/>
        <v>2100</v>
      </c>
      <c r="G9" s="23">
        <v>30</v>
      </c>
      <c r="H9" s="24" t="str">
        <f t="shared" si="2"/>
        <v xml:space="preserve"> </v>
      </c>
      <c r="I9" s="50"/>
      <c r="J9" s="47" t="s">
        <v>122</v>
      </c>
      <c r="K9" s="21" t="s">
        <v>123</v>
      </c>
      <c r="L9" s="51"/>
      <c r="M9" s="16"/>
      <c r="N9" s="194" t="s">
        <v>212</v>
      </c>
      <c r="O9" s="195"/>
      <c r="R9" s="65"/>
    </row>
    <row r="10" spans="1:23" ht="35.1" customHeight="1">
      <c r="B10" s="25"/>
      <c r="C10" s="20" t="s">
        <v>107</v>
      </c>
      <c r="D10" s="21" t="s">
        <v>108</v>
      </c>
      <c r="E10" s="15">
        <f t="shared" si="1"/>
        <v>1800</v>
      </c>
      <c r="F10" s="22">
        <f t="shared" si="0"/>
        <v>2100</v>
      </c>
      <c r="G10" s="23">
        <v>30</v>
      </c>
      <c r="H10" s="24" t="str">
        <f t="shared" si="2"/>
        <v xml:space="preserve"> </v>
      </c>
      <c r="I10" s="50"/>
      <c r="J10" s="47" t="s">
        <v>124</v>
      </c>
      <c r="K10" s="21" t="s">
        <v>125</v>
      </c>
      <c r="L10" s="51">
        <v>3000</v>
      </c>
      <c r="M10" s="16">
        <f t="shared" si="3"/>
        <v>3300</v>
      </c>
      <c r="N10" s="23"/>
      <c r="O10" s="178" t="s">
        <v>224</v>
      </c>
      <c r="R10" s="65"/>
      <c r="S10" s="66">
        <f>SUMIFS(F4:F28,F4:F28,2100)</f>
        <v>42000</v>
      </c>
    </row>
    <row r="11" spans="1:23" ht="35.1" customHeight="1">
      <c r="B11" s="25" t="s">
        <v>8</v>
      </c>
      <c r="C11" s="20" t="s">
        <v>111</v>
      </c>
      <c r="D11" s="21" t="s">
        <v>199</v>
      </c>
      <c r="E11" s="15">
        <f t="shared" si="1"/>
        <v>1800</v>
      </c>
      <c r="F11" s="22">
        <f t="shared" si="0"/>
        <v>2100</v>
      </c>
      <c r="G11" s="23">
        <v>30</v>
      </c>
      <c r="H11" s="24" t="str">
        <f t="shared" si="2"/>
        <v xml:space="preserve"> </v>
      </c>
      <c r="I11" s="50"/>
      <c r="J11" s="47" t="s">
        <v>127</v>
      </c>
      <c r="K11" s="21" t="s">
        <v>128</v>
      </c>
      <c r="L11" s="51">
        <v>1200</v>
      </c>
      <c r="M11" s="16">
        <f t="shared" si="3"/>
        <v>1500</v>
      </c>
      <c r="N11" s="23"/>
      <c r="O11" s="136" t="s">
        <v>223</v>
      </c>
      <c r="S11" s="67">
        <f>SUMIFS(M4:M6,M4:M6,2100)</f>
        <v>0</v>
      </c>
    </row>
    <row r="12" spans="1:23" ht="33.75" customHeight="1" thickBot="1">
      <c r="B12" s="25"/>
      <c r="C12" s="20" t="s">
        <v>116</v>
      </c>
      <c r="D12" s="21" t="s">
        <v>117</v>
      </c>
      <c r="E12" s="15">
        <f t="shared" si="1"/>
        <v>1800</v>
      </c>
      <c r="F12" s="22">
        <f t="shared" si="0"/>
        <v>2100</v>
      </c>
      <c r="G12" s="23">
        <v>30</v>
      </c>
      <c r="H12" s="24" t="str">
        <f t="shared" si="2"/>
        <v xml:space="preserve"> </v>
      </c>
      <c r="I12" s="50"/>
      <c r="J12" s="47" t="s">
        <v>129</v>
      </c>
      <c r="K12" s="21" t="s">
        <v>130</v>
      </c>
      <c r="L12" s="51">
        <v>900</v>
      </c>
      <c r="M12" s="16">
        <f t="shared" si="3"/>
        <v>1200</v>
      </c>
      <c r="N12" s="23"/>
      <c r="O12" s="136"/>
      <c r="R12" s="68" t="s">
        <v>115</v>
      </c>
      <c r="S12" s="69">
        <f>SUM(S10:S11)</f>
        <v>42000</v>
      </c>
      <c r="W12" s="70"/>
    </row>
    <row r="13" spans="1:23" ht="35.1" customHeight="1" thickTop="1">
      <c r="B13" s="25" t="s">
        <v>8</v>
      </c>
      <c r="C13" s="20" t="s">
        <v>118</v>
      </c>
      <c r="D13" s="27" t="s">
        <v>119</v>
      </c>
      <c r="E13" s="15">
        <f t="shared" si="1"/>
        <v>1800</v>
      </c>
      <c r="F13" s="22">
        <f t="shared" si="0"/>
        <v>2100</v>
      </c>
      <c r="G13" s="23">
        <v>30</v>
      </c>
      <c r="H13" s="24" t="str">
        <f t="shared" si="2"/>
        <v xml:space="preserve"> </v>
      </c>
      <c r="I13" s="50"/>
      <c r="J13" s="47" t="s">
        <v>131</v>
      </c>
      <c r="K13" s="21" t="s">
        <v>132</v>
      </c>
      <c r="L13" s="51">
        <v>900</v>
      </c>
      <c r="M13" s="16">
        <f t="shared" si="3"/>
        <v>1200</v>
      </c>
      <c r="N13" s="23"/>
      <c r="O13" s="52"/>
    </row>
    <row r="14" spans="1:23" ht="35.1" customHeight="1">
      <c r="B14" s="25"/>
      <c r="C14" s="20" t="s">
        <v>83</v>
      </c>
      <c r="D14" s="29" t="s">
        <v>84</v>
      </c>
      <c r="E14" s="15">
        <f t="shared" si="1"/>
        <v>1800</v>
      </c>
      <c r="F14" s="16">
        <f t="shared" si="0"/>
        <v>2100</v>
      </c>
      <c r="G14" s="17">
        <v>30</v>
      </c>
      <c r="H14" s="24" t="str">
        <f t="shared" si="2"/>
        <v xml:space="preserve"> </v>
      </c>
      <c r="I14" s="50"/>
      <c r="J14" s="47" t="s">
        <v>133</v>
      </c>
      <c r="K14" s="21" t="s">
        <v>134</v>
      </c>
      <c r="L14" s="51">
        <v>900</v>
      </c>
      <c r="M14" s="16">
        <f t="shared" si="3"/>
        <v>1200</v>
      </c>
      <c r="N14" s="23"/>
      <c r="O14" s="52"/>
      <c r="S14" s="71">
        <f>SUMIFS(M4:M5,O4:O5,"V")</f>
        <v>3000</v>
      </c>
    </row>
    <row r="15" spans="1:23" ht="35.1" customHeight="1">
      <c r="B15" s="19"/>
      <c r="C15" s="20" t="s">
        <v>87</v>
      </c>
      <c r="D15" s="21" t="s">
        <v>88</v>
      </c>
      <c r="E15" s="28">
        <f t="shared" si="1"/>
        <v>1800</v>
      </c>
      <c r="F15" s="22">
        <f t="shared" si="0"/>
        <v>2100</v>
      </c>
      <c r="G15" s="23">
        <v>30</v>
      </c>
      <c r="H15" s="18" t="str">
        <f t="shared" si="2"/>
        <v xml:space="preserve"> </v>
      </c>
      <c r="I15" s="50"/>
      <c r="J15" s="47" t="s">
        <v>142</v>
      </c>
      <c r="K15" s="21" t="s">
        <v>143</v>
      </c>
      <c r="L15" s="51">
        <v>800</v>
      </c>
      <c r="M15" s="16">
        <f t="shared" si="3"/>
        <v>1100</v>
      </c>
      <c r="N15" s="23"/>
      <c r="O15" s="137"/>
      <c r="R15" s="64"/>
      <c r="S15" s="72">
        <f>SUMIFS(F4:F28,H4:H28,"V")</f>
        <v>3920</v>
      </c>
    </row>
    <row r="16" spans="1:23" ht="35.1" customHeight="1" thickBot="1">
      <c r="B16" s="25"/>
      <c r="C16" s="20" t="s">
        <v>89</v>
      </c>
      <c r="D16" s="30" t="s">
        <v>90</v>
      </c>
      <c r="E16" s="28">
        <f t="shared" si="1"/>
        <v>1800</v>
      </c>
      <c r="F16" s="22">
        <f t="shared" si="0"/>
        <v>2100</v>
      </c>
      <c r="G16" s="23">
        <v>30</v>
      </c>
      <c r="H16" s="31" t="str">
        <f t="shared" si="2"/>
        <v xml:space="preserve"> </v>
      </c>
      <c r="I16" s="50"/>
      <c r="J16" s="47" t="s">
        <v>137</v>
      </c>
      <c r="K16" s="30" t="s">
        <v>138</v>
      </c>
      <c r="L16" s="51">
        <v>900</v>
      </c>
      <c r="M16" s="16">
        <f t="shared" si="3"/>
        <v>1200</v>
      </c>
      <c r="N16" s="23"/>
      <c r="O16" s="52"/>
      <c r="R16" s="5" t="s">
        <v>126</v>
      </c>
      <c r="S16" s="73">
        <f>SUM(S14,S15)</f>
        <v>6920</v>
      </c>
    </row>
    <row r="17" spans="1:19" ht="35.1" customHeight="1" thickTop="1">
      <c r="B17" s="25"/>
      <c r="C17" s="20" t="s">
        <v>93</v>
      </c>
      <c r="D17" s="30" t="s">
        <v>94</v>
      </c>
      <c r="E17" s="28">
        <f t="shared" si="1"/>
        <v>1800</v>
      </c>
      <c r="F17" s="22">
        <f t="shared" si="0"/>
        <v>2100</v>
      </c>
      <c r="G17" s="23">
        <v>30</v>
      </c>
      <c r="H17" s="31" t="str">
        <f t="shared" si="2"/>
        <v xml:space="preserve"> </v>
      </c>
      <c r="I17" s="50"/>
      <c r="J17" s="47" t="s">
        <v>135</v>
      </c>
      <c r="K17" s="21" t="s">
        <v>136</v>
      </c>
      <c r="L17" s="51">
        <v>900</v>
      </c>
      <c r="M17" s="16">
        <f t="shared" si="3"/>
        <v>1200</v>
      </c>
      <c r="N17" s="127"/>
      <c r="O17" s="142"/>
    </row>
    <row r="18" spans="1:19" ht="35.1" customHeight="1">
      <c r="B18" s="25"/>
      <c r="C18" s="20" t="s">
        <v>97</v>
      </c>
      <c r="D18" s="30" t="s">
        <v>98</v>
      </c>
      <c r="E18" s="28">
        <f t="shared" si="1"/>
        <v>1800</v>
      </c>
      <c r="F18" s="22">
        <f t="shared" si="0"/>
        <v>2100</v>
      </c>
      <c r="G18" s="23">
        <v>30</v>
      </c>
      <c r="H18" s="31" t="str">
        <f t="shared" si="2"/>
        <v xml:space="preserve"> </v>
      </c>
      <c r="I18" s="53"/>
      <c r="J18" s="47" t="s">
        <v>147</v>
      </c>
      <c r="K18" s="21" t="s">
        <v>153</v>
      </c>
      <c r="L18" s="51">
        <v>900</v>
      </c>
      <c r="M18" s="16">
        <f t="shared" si="3"/>
        <v>1200</v>
      </c>
      <c r="N18" s="127"/>
      <c r="O18" s="167"/>
      <c r="R18" s="74" t="s">
        <v>77</v>
      </c>
      <c r="S18" s="75">
        <f>SUM(M8:M28)</f>
        <v>21700</v>
      </c>
    </row>
    <row r="19" spans="1:19" ht="35.1" customHeight="1" thickBot="1">
      <c r="B19" s="25"/>
      <c r="C19" s="20" t="s">
        <v>101</v>
      </c>
      <c r="D19" s="30" t="s">
        <v>102</v>
      </c>
      <c r="E19" s="28">
        <f t="shared" si="1"/>
        <v>1800</v>
      </c>
      <c r="F19" s="22">
        <f t="shared" si="0"/>
        <v>2100</v>
      </c>
      <c r="G19" s="23">
        <v>30</v>
      </c>
      <c r="H19" s="31" t="str">
        <f t="shared" si="2"/>
        <v xml:space="preserve"> </v>
      </c>
      <c r="I19" s="53"/>
      <c r="J19" s="47" t="s">
        <v>148</v>
      </c>
      <c r="K19" s="21" t="s">
        <v>149</v>
      </c>
      <c r="L19" s="51"/>
      <c r="M19" s="16"/>
      <c r="N19" s="196" t="s">
        <v>212</v>
      </c>
      <c r="O19" s="197"/>
      <c r="R19" s="5" t="s">
        <v>64</v>
      </c>
      <c r="S19" s="73">
        <f>SUM(S16,S12,S18)</f>
        <v>70620</v>
      </c>
    </row>
    <row r="20" spans="1:19" ht="35.1" customHeight="1" thickTop="1">
      <c r="B20" s="25"/>
      <c r="C20" s="20" t="s">
        <v>105</v>
      </c>
      <c r="D20" s="21" t="s">
        <v>106</v>
      </c>
      <c r="E20" s="28">
        <f t="shared" si="1"/>
        <v>600</v>
      </c>
      <c r="F20" s="22">
        <f t="shared" si="0"/>
        <v>900</v>
      </c>
      <c r="G20" s="23">
        <v>10</v>
      </c>
      <c r="H20" s="31" t="str">
        <f t="shared" si="2"/>
        <v>V</v>
      </c>
      <c r="I20" s="53"/>
      <c r="J20" s="47" t="s">
        <v>150</v>
      </c>
      <c r="K20" s="21" t="s">
        <v>151</v>
      </c>
      <c r="L20" s="51">
        <v>1100</v>
      </c>
      <c r="M20" s="16">
        <f t="shared" si="3"/>
        <v>1400</v>
      </c>
      <c r="N20" s="45"/>
      <c r="O20" s="138"/>
      <c r="R20" s="5" t="s">
        <v>68</v>
      </c>
      <c r="S20" s="76">
        <f>SUM(F4:F28,M4:M28)</f>
        <v>70620</v>
      </c>
    </row>
    <row r="21" spans="1:19" ht="35.1" customHeight="1">
      <c r="B21" s="25"/>
      <c r="C21" s="20" t="s">
        <v>109</v>
      </c>
      <c r="D21" s="21" t="s">
        <v>110</v>
      </c>
      <c r="E21" s="28">
        <f t="shared" si="1"/>
        <v>1800</v>
      </c>
      <c r="F21" s="22">
        <f t="shared" si="0"/>
        <v>2100</v>
      </c>
      <c r="G21" s="23">
        <v>30</v>
      </c>
      <c r="H21" s="31" t="str">
        <f t="shared" si="2"/>
        <v xml:space="preserve"> </v>
      </c>
      <c r="I21" s="53"/>
      <c r="J21" s="47" t="s">
        <v>154</v>
      </c>
      <c r="K21" s="21" t="s">
        <v>152</v>
      </c>
      <c r="L21" s="51"/>
      <c r="M21" s="16"/>
      <c r="N21" s="196" t="s">
        <v>212</v>
      </c>
      <c r="O21" s="197"/>
      <c r="S21" s="76"/>
    </row>
    <row r="22" spans="1:19" ht="35.1" customHeight="1">
      <c r="B22" s="25"/>
      <c r="C22" s="20" t="s">
        <v>113</v>
      </c>
      <c r="D22" s="32" t="s">
        <v>114</v>
      </c>
      <c r="E22" s="28">
        <f t="shared" si="1"/>
        <v>540</v>
      </c>
      <c r="F22" s="33">
        <f t="shared" si="0"/>
        <v>840</v>
      </c>
      <c r="G22" s="23">
        <v>9</v>
      </c>
      <c r="H22" s="31" t="str">
        <f t="shared" si="2"/>
        <v>V</v>
      </c>
      <c r="I22" s="132"/>
      <c r="J22" s="133" t="s">
        <v>160</v>
      </c>
      <c r="K22" s="30" t="s">
        <v>159</v>
      </c>
      <c r="L22" s="51">
        <v>1000</v>
      </c>
      <c r="M22" s="16">
        <f>L22+300</f>
        <v>1300</v>
      </c>
      <c r="N22" s="45"/>
      <c r="O22" s="130"/>
      <c r="S22" s="76"/>
    </row>
    <row r="23" spans="1:19" ht="35.1" customHeight="1">
      <c r="B23" s="25"/>
      <c r="C23" s="140" t="s">
        <v>163</v>
      </c>
      <c r="D23" s="32" t="s">
        <v>164</v>
      </c>
      <c r="E23" s="28">
        <f t="shared" si="1"/>
        <v>1800</v>
      </c>
      <c r="F23" s="33">
        <f>E23+300</f>
        <v>2100</v>
      </c>
      <c r="G23" s="23">
        <v>30</v>
      </c>
      <c r="H23" s="31" t="str">
        <f t="shared" si="2"/>
        <v xml:space="preserve"> </v>
      </c>
      <c r="I23" s="132"/>
      <c r="J23" s="133" t="s">
        <v>184</v>
      </c>
      <c r="K23" s="30" t="s">
        <v>180</v>
      </c>
      <c r="L23" s="51">
        <v>900</v>
      </c>
      <c r="M23" s="16">
        <f>L23+300</f>
        <v>1200</v>
      </c>
      <c r="N23" s="45"/>
      <c r="O23" s="130"/>
      <c r="S23" s="76"/>
    </row>
    <row r="24" spans="1:19" ht="35.1" customHeight="1">
      <c r="B24" s="25"/>
      <c r="C24" s="20" t="s">
        <v>237</v>
      </c>
      <c r="D24" s="89" t="s">
        <v>155</v>
      </c>
      <c r="E24" s="51">
        <f>1800/30*G24</f>
        <v>1800</v>
      </c>
      <c r="F24" s="90">
        <f>E24+300</f>
        <v>2100</v>
      </c>
      <c r="G24" s="17">
        <v>30</v>
      </c>
      <c r="H24" s="31"/>
      <c r="I24" s="132"/>
      <c r="J24" s="133" t="s">
        <v>185</v>
      </c>
      <c r="K24" s="30" t="s">
        <v>181</v>
      </c>
      <c r="L24" s="51">
        <v>900</v>
      </c>
      <c r="M24" s="16">
        <f t="shared" ref="M24:M26" si="4">L24+300</f>
        <v>1200</v>
      </c>
      <c r="N24" s="45"/>
      <c r="O24" s="130"/>
      <c r="S24" s="76"/>
    </row>
    <row r="25" spans="1:19" ht="35.1" customHeight="1">
      <c r="B25" s="25"/>
      <c r="C25" s="20" t="s">
        <v>167</v>
      </c>
      <c r="D25" s="89" t="s">
        <v>168</v>
      </c>
      <c r="E25" s="51">
        <f>1800/30*G25</f>
        <v>1800</v>
      </c>
      <c r="F25" s="90">
        <f>E25+300</f>
        <v>2100</v>
      </c>
      <c r="G25" s="17">
        <v>30</v>
      </c>
      <c r="H25" s="31"/>
      <c r="I25" s="132"/>
      <c r="J25" s="133" t="s">
        <v>186</v>
      </c>
      <c r="K25" s="30" t="s">
        <v>182</v>
      </c>
      <c r="L25" s="51">
        <v>900</v>
      </c>
      <c r="M25" s="16">
        <f t="shared" si="4"/>
        <v>1200</v>
      </c>
      <c r="N25" s="45"/>
      <c r="O25" s="130"/>
      <c r="S25" s="76"/>
    </row>
    <row r="26" spans="1:19" ht="35.1" customHeight="1" thickBot="1">
      <c r="B26" s="25"/>
      <c r="C26" s="20" t="s">
        <v>165</v>
      </c>
      <c r="D26" s="21" t="s">
        <v>166</v>
      </c>
      <c r="E26" s="28">
        <f>1800/30*G26</f>
        <v>1800</v>
      </c>
      <c r="F26" s="22">
        <f t="shared" ref="F26" si="5">E26+300</f>
        <v>2100</v>
      </c>
      <c r="G26" s="23">
        <v>30</v>
      </c>
      <c r="H26" s="18" t="str">
        <f t="shared" si="2"/>
        <v xml:space="preserve"> </v>
      </c>
      <c r="I26" s="132"/>
      <c r="J26" s="173" t="s">
        <v>187</v>
      </c>
      <c r="K26" s="172" t="s">
        <v>183</v>
      </c>
      <c r="L26" s="174">
        <v>900</v>
      </c>
      <c r="M26" s="145">
        <f t="shared" si="4"/>
        <v>1200</v>
      </c>
      <c r="N26" s="45"/>
      <c r="O26" s="130"/>
      <c r="S26" s="76"/>
    </row>
    <row r="27" spans="1:19" ht="35.1" customHeight="1" thickTop="1">
      <c r="B27" s="168"/>
      <c r="C27" s="169" t="s">
        <v>234</v>
      </c>
      <c r="D27" s="170" t="s">
        <v>211</v>
      </c>
      <c r="E27" s="28">
        <f>1800/30*G27</f>
        <v>960</v>
      </c>
      <c r="F27" s="22">
        <f>E27+160</f>
        <v>1120</v>
      </c>
      <c r="G27" s="23">
        <v>16</v>
      </c>
      <c r="H27" s="18" t="str">
        <f t="shared" si="2"/>
        <v>V</v>
      </c>
      <c r="I27" s="53"/>
      <c r="J27" s="133"/>
      <c r="K27" s="30"/>
      <c r="L27" s="51"/>
      <c r="M27" s="16"/>
      <c r="N27" s="45"/>
      <c r="O27" s="130"/>
      <c r="R27" s="3"/>
    </row>
    <row r="28" spans="1:19" ht="35.1" customHeight="1" thickBot="1">
      <c r="B28" s="34"/>
      <c r="C28" s="157" t="s">
        <v>236</v>
      </c>
      <c r="D28" s="158" t="s">
        <v>235</v>
      </c>
      <c r="E28" s="28">
        <f>1800/30*G28</f>
        <v>0</v>
      </c>
      <c r="F28" s="22">
        <f>E28+160</f>
        <v>160</v>
      </c>
      <c r="G28" s="23"/>
      <c r="H28" s="156" t="str">
        <f t="shared" si="2"/>
        <v>V</v>
      </c>
      <c r="I28" s="160"/>
      <c r="J28" s="173"/>
      <c r="K28" s="172"/>
      <c r="L28" s="174"/>
      <c r="M28" s="145"/>
      <c r="N28" s="161"/>
      <c r="O28" s="162"/>
      <c r="R28" s="3"/>
    </row>
    <row r="29" spans="1:19" ht="25.15" customHeight="1" thickTop="1">
      <c r="B29" s="35"/>
      <c r="C29" s="35"/>
      <c r="D29" s="131"/>
      <c r="E29" s="36"/>
      <c r="F29" s="37"/>
      <c r="G29" s="38"/>
      <c r="H29" s="39"/>
      <c r="I29" s="56"/>
      <c r="J29" s="57"/>
      <c r="K29" s="58"/>
      <c r="L29" s="59"/>
      <c r="M29" s="37"/>
      <c r="N29" s="38"/>
      <c r="O29" s="60"/>
    </row>
    <row r="30" spans="1:19" s="2" customFormat="1" ht="24.6" customHeight="1">
      <c r="A30" s="2" t="s">
        <v>8</v>
      </c>
      <c r="B30" s="186" t="s">
        <v>225</v>
      </c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6"/>
      <c r="P30" s="61" t="s">
        <v>77</v>
      </c>
      <c r="Q30" s="77" t="s">
        <v>78</v>
      </c>
    </row>
    <row r="31" spans="1:19" s="2" customFormat="1" ht="24.6" customHeight="1">
      <c r="B31" s="187" t="s">
        <v>226</v>
      </c>
      <c r="C31" s="187"/>
      <c r="D31" s="187"/>
      <c r="E31" s="187"/>
      <c r="F31" s="187"/>
      <c r="G31" s="187"/>
      <c r="H31" s="187"/>
      <c r="I31" s="187"/>
      <c r="J31" s="187"/>
      <c r="K31" s="187"/>
      <c r="L31" s="187"/>
      <c r="M31" s="187"/>
      <c r="N31" s="187"/>
      <c r="O31" s="187"/>
      <c r="P31" s="62"/>
      <c r="Q31" s="77" t="s">
        <v>79</v>
      </c>
    </row>
    <row r="32" spans="1:19" s="2" customFormat="1" ht="24.6" customHeight="1">
      <c r="B32" s="186" t="s">
        <v>227</v>
      </c>
      <c r="C32" s="186"/>
      <c r="D32" s="186"/>
      <c r="E32" s="186"/>
      <c r="F32" s="186"/>
      <c r="G32" s="186"/>
      <c r="H32" s="186"/>
      <c r="I32" s="186"/>
      <c r="J32" s="186"/>
      <c r="K32" s="186"/>
      <c r="L32" s="186"/>
      <c r="M32" s="186"/>
      <c r="N32" s="186"/>
      <c r="O32" s="186"/>
    </row>
    <row r="33" spans="2:18" s="2" customFormat="1" ht="19.5">
      <c r="B33" s="186" t="s">
        <v>228</v>
      </c>
      <c r="C33" s="186"/>
      <c r="D33" s="186"/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R33" s="78"/>
    </row>
  </sheetData>
  <mergeCells count="10">
    <mergeCell ref="B30:O30"/>
    <mergeCell ref="B31:O31"/>
    <mergeCell ref="B32:O32"/>
    <mergeCell ref="B33:O33"/>
    <mergeCell ref="B1:O1"/>
    <mergeCell ref="L2:O2"/>
    <mergeCell ref="I7:O7"/>
    <mergeCell ref="N9:O9"/>
    <mergeCell ref="N19:O19"/>
    <mergeCell ref="N21:O21"/>
  </mergeCells>
  <phoneticPr fontId="26" type="noConversion"/>
  <conditionalFormatting sqref="G4:G28">
    <cfRule type="cellIs" dxfId="1" priority="1" stopIfTrue="1" operator="lessThan">
      <formula>30</formula>
    </cfRule>
  </conditionalFormatting>
  <conditionalFormatting sqref="N4:N5">
    <cfRule type="cellIs" dxfId="0" priority="3" stopIfTrue="1" operator="lessThan">
      <formula>30</formula>
    </cfRule>
  </conditionalFormatting>
  <printOptions horizontalCentered="1"/>
  <pageMargins left="0.23622047244094499" right="0.23622047244094499" top="0.35433070866141703" bottom="0.35433070866141703" header="0" footer="0"/>
  <pageSetup paperSize="9" scale="6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具名範圍</vt:lpstr>
      </vt:variant>
      <vt:variant>
        <vt:i4>8</vt:i4>
      </vt:variant>
    </vt:vector>
  </HeadingPairs>
  <TitlesOfParts>
    <vt:vector size="16" baseType="lpstr">
      <vt:lpstr>115.1</vt:lpstr>
      <vt:lpstr>115.1紡織部</vt:lpstr>
      <vt:lpstr>115.2</vt:lpstr>
      <vt:lpstr>115.2紡織部 </vt:lpstr>
      <vt:lpstr>115.3</vt:lpstr>
      <vt:lpstr>115.3紡織部 </vt:lpstr>
      <vt:lpstr>115.4</vt:lpstr>
      <vt:lpstr>115.4紡織部 </vt:lpstr>
      <vt:lpstr>'115.1'!Print_Area</vt:lpstr>
      <vt:lpstr>'115.1紡織部'!Print_Area</vt:lpstr>
      <vt:lpstr>'115.2'!Print_Area</vt:lpstr>
      <vt:lpstr>'115.2紡織部 '!Print_Area</vt:lpstr>
      <vt:lpstr>'115.3'!Print_Area</vt:lpstr>
      <vt:lpstr>'115.3紡織部 '!Print_Area</vt:lpstr>
      <vt:lpstr>'115.4'!Print_Area</vt:lpstr>
      <vt:lpstr>'115.4紡織部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吟珊 吳</cp:lastModifiedBy>
  <dcterms:created xsi:type="dcterms:W3CDTF">2024-01-05T08:31:00Z</dcterms:created>
  <dcterms:modified xsi:type="dcterms:W3CDTF">2026-04-23T06:32:47Z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2085B3EBCB6D4A1D841FDD78AF89CA97_12</vt:lpwstr>
  </property>
  <property fmtid="{D5CDD505-2E9C-101B-9397-08002B2CF9AE}" pid="3" name="KSOProductBuildVer">
    <vt:lpwstr>1033-12.2.0.17562</vt:lpwstr>
  </property>
</Properties>
</file>