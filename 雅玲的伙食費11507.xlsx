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.hsu\Downloads\外勞用餐\"/>
    </mc:Choice>
  </mc:AlternateContent>
  <xr:revisionPtr revIDLastSave="0" documentId="8_{036C2172-1361-407D-B757-57B915B4EE12}" xr6:coauthVersionLast="47" xr6:coauthVersionMax="47" xr10:uidLastSave="{00000000-0000-0000-0000-000000000000}"/>
  <bookViews>
    <workbookView xWindow="-120" yWindow="-16320" windowWidth="29040" windowHeight="15720" firstSheet="1" activeTab="4" xr2:uid="{497CC8C8-8799-4945-8447-49F2D7D23CC7}"/>
  </bookViews>
  <sheets>
    <sheet name="115.7皮革伙食台灣" sheetId="1" r:id="rId1"/>
    <sheet name="115.7皮革假日加班伙食台灣 " sheetId="7" r:id="rId2"/>
    <sheet name="115.7皮革伙食外籍" sheetId="3" r:id="rId3"/>
    <sheet name="115.7紡織伙食台灣" sheetId="5" r:id="rId4"/>
    <sheet name="115.7紡織假日加班伙食台灣" sheetId="8" r:id="rId5"/>
    <sheet name="115.7紡織伙食外籍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6" i="3" l="1"/>
  <c r="J16" i="3"/>
  <c r="H16" i="3"/>
  <c r="F16" i="3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5" i="8"/>
  <c r="F4" i="8"/>
  <c r="F46" i="7"/>
  <c r="F45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27" i="7"/>
  <c r="F20" i="7"/>
  <c r="F21" i="7"/>
  <c r="F22" i="7"/>
  <c r="F23" i="7"/>
  <c r="F24" i="7"/>
  <c r="F19" i="7"/>
  <c r="F13" i="7"/>
  <c r="F14" i="7"/>
  <c r="F15" i="7"/>
  <c r="F16" i="7"/>
  <c r="F17" i="7"/>
  <c r="F12" i="7"/>
  <c r="F6" i="7"/>
  <c r="F7" i="7"/>
  <c r="F8" i="7"/>
  <c r="F9" i="7"/>
  <c r="F5" i="7"/>
  <c r="F4" i="7"/>
  <c r="J20" i="8"/>
  <c r="H20" i="8"/>
  <c r="E20" i="5"/>
  <c r="F20" i="5" s="1"/>
  <c r="F35" i="1"/>
  <c r="J35" i="7"/>
  <c r="H35" i="7"/>
  <c r="K35" i="7"/>
  <c r="N16" i="3" l="1"/>
  <c r="K20" i="8"/>
  <c r="E35" i="1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H22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F5" i="6"/>
  <c r="F6" i="6"/>
  <c r="F7" i="6"/>
  <c r="F8" i="6"/>
  <c r="F9" i="6"/>
  <c r="F10" i="6"/>
  <c r="F11" i="6"/>
  <c r="F12" i="6"/>
  <c r="F13" i="6"/>
  <c r="F14" i="6"/>
  <c r="F15" i="6"/>
  <c r="F16" i="6"/>
  <c r="N16" i="6" s="1"/>
  <c r="F17" i="6"/>
  <c r="F18" i="6"/>
  <c r="F19" i="6"/>
  <c r="F20" i="6"/>
  <c r="F21" i="6"/>
  <c r="F22" i="6"/>
  <c r="L4" i="6"/>
  <c r="J4" i="6"/>
  <c r="H4" i="6"/>
  <c r="F4" i="6"/>
  <c r="N19" i="6" l="1"/>
  <c r="N21" i="6"/>
  <c r="N17" i="6"/>
  <c r="N5" i="6"/>
  <c r="N18" i="6"/>
  <c r="N22" i="6"/>
  <c r="N9" i="6"/>
  <c r="N12" i="6"/>
  <c r="N13" i="6"/>
  <c r="N20" i="6"/>
  <c r="N15" i="6"/>
  <c r="N14" i="6"/>
  <c r="N11" i="6"/>
  <c r="N10" i="6"/>
  <c r="N8" i="6"/>
  <c r="N7" i="6"/>
  <c r="N6" i="6"/>
  <c r="N4" i="6"/>
  <c r="J5" i="8"/>
  <c r="J6" i="8"/>
  <c r="J7" i="8"/>
  <c r="J8" i="8"/>
  <c r="K8" i="8" s="1"/>
  <c r="J9" i="8"/>
  <c r="J10" i="8"/>
  <c r="J11" i="8"/>
  <c r="J12" i="8"/>
  <c r="J13" i="8"/>
  <c r="J14" i="8"/>
  <c r="J15" i="8"/>
  <c r="J16" i="8"/>
  <c r="J17" i="8"/>
  <c r="J18" i="8"/>
  <c r="J19" i="8"/>
  <c r="J21" i="8"/>
  <c r="J22" i="8"/>
  <c r="K22" i="8" s="1"/>
  <c r="J23" i="8"/>
  <c r="J24" i="8"/>
  <c r="J25" i="8"/>
  <c r="J26" i="8"/>
  <c r="J27" i="8"/>
  <c r="J28" i="8"/>
  <c r="J29" i="8"/>
  <c r="J30" i="8"/>
  <c r="J31" i="8"/>
  <c r="J32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1" i="8"/>
  <c r="H22" i="8"/>
  <c r="H23" i="8"/>
  <c r="H24" i="8"/>
  <c r="H25" i="8"/>
  <c r="H26" i="8"/>
  <c r="H27" i="8"/>
  <c r="H28" i="8"/>
  <c r="H29" i="8"/>
  <c r="H30" i="8"/>
  <c r="H31" i="8"/>
  <c r="H32" i="8"/>
  <c r="K5" i="8"/>
  <c r="K6" i="8"/>
  <c r="K9" i="8"/>
  <c r="K10" i="8"/>
  <c r="K11" i="8"/>
  <c r="K12" i="8"/>
  <c r="K13" i="8"/>
  <c r="K14" i="8"/>
  <c r="K15" i="8"/>
  <c r="K16" i="8"/>
  <c r="K17" i="8"/>
  <c r="K21" i="8"/>
  <c r="K23" i="8"/>
  <c r="K24" i="8"/>
  <c r="K25" i="8"/>
  <c r="K26" i="8"/>
  <c r="K27" i="8"/>
  <c r="K28" i="8"/>
  <c r="K29" i="8"/>
  <c r="K30" i="8"/>
  <c r="K31" i="8"/>
  <c r="K32" i="8"/>
  <c r="J4" i="8"/>
  <c r="H4" i="8"/>
  <c r="K4" i="8"/>
  <c r="L5" i="3"/>
  <c r="L6" i="3"/>
  <c r="L7" i="3"/>
  <c r="L8" i="3"/>
  <c r="L9" i="3"/>
  <c r="L10" i="3"/>
  <c r="L11" i="3"/>
  <c r="L12" i="3"/>
  <c r="L13" i="3"/>
  <c r="L14" i="3"/>
  <c r="L15" i="3"/>
  <c r="L17" i="3"/>
  <c r="J5" i="3"/>
  <c r="J6" i="3"/>
  <c r="J7" i="3"/>
  <c r="J8" i="3"/>
  <c r="J9" i="3"/>
  <c r="J10" i="3"/>
  <c r="J11" i="3"/>
  <c r="J12" i="3"/>
  <c r="J13" i="3"/>
  <c r="J14" i="3"/>
  <c r="J15" i="3"/>
  <c r="J17" i="3"/>
  <c r="H5" i="3"/>
  <c r="H6" i="3"/>
  <c r="H7" i="3"/>
  <c r="H8" i="3"/>
  <c r="H9" i="3"/>
  <c r="H10" i="3"/>
  <c r="H11" i="3"/>
  <c r="H12" i="3"/>
  <c r="H13" i="3"/>
  <c r="H14" i="3"/>
  <c r="H15" i="3"/>
  <c r="H17" i="3"/>
  <c r="F5" i="3"/>
  <c r="F6" i="3"/>
  <c r="F7" i="3"/>
  <c r="F8" i="3"/>
  <c r="F9" i="3"/>
  <c r="F10" i="3"/>
  <c r="F11" i="3"/>
  <c r="F12" i="3"/>
  <c r="F13" i="3"/>
  <c r="F14" i="3"/>
  <c r="F15" i="3"/>
  <c r="F17" i="3"/>
  <c r="L4" i="3"/>
  <c r="J4" i="3"/>
  <c r="H4" i="3"/>
  <c r="F4" i="3"/>
  <c r="J46" i="7"/>
  <c r="J45" i="7"/>
  <c r="J28" i="7"/>
  <c r="J29" i="7"/>
  <c r="J30" i="7"/>
  <c r="J31" i="7"/>
  <c r="J32" i="7"/>
  <c r="J33" i="7"/>
  <c r="J34" i="7"/>
  <c r="J36" i="7"/>
  <c r="J37" i="7"/>
  <c r="J38" i="7"/>
  <c r="J39" i="7"/>
  <c r="J40" i="7"/>
  <c r="J41" i="7"/>
  <c r="J42" i="7"/>
  <c r="J43" i="7"/>
  <c r="J27" i="7"/>
  <c r="J20" i="7"/>
  <c r="J21" i="7"/>
  <c r="J22" i="7"/>
  <c r="J23" i="7"/>
  <c r="J24" i="7"/>
  <c r="J19" i="7"/>
  <c r="J13" i="7"/>
  <c r="J14" i="7"/>
  <c r="J15" i="7"/>
  <c r="J16" i="7"/>
  <c r="J17" i="7"/>
  <c r="J12" i="7"/>
  <c r="J5" i="7"/>
  <c r="J6" i="7"/>
  <c r="J7" i="7"/>
  <c r="J8" i="7"/>
  <c r="J9" i="7"/>
  <c r="H46" i="7"/>
  <c r="H45" i="7"/>
  <c r="H28" i="7"/>
  <c r="H29" i="7"/>
  <c r="H30" i="7"/>
  <c r="H31" i="7"/>
  <c r="H32" i="7"/>
  <c r="H33" i="7"/>
  <c r="H34" i="7"/>
  <c r="H36" i="7"/>
  <c r="H37" i="7"/>
  <c r="H38" i="7"/>
  <c r="H39" i="7"/>
  <c r="H40" i="7"/>
  <c r="H41" i="7"/>
  <c r="H42" i="7"/>
  <c r="K42" i="7" s="1"/>
  <c r="H43" i="7"/>
  <c r="H27" i="7"/>
  <c r="H24" i="7"/>
  <c r="H20" i="7"/>
  <c r="H21" i="7"/>
  <c r="H22" i="7"/>
  <c r="H23" i="7"/>
  <c r="H19" i="7"/>
  <c r="K19" i="7" s="1"/>
  <c r="H13" i="7"/>
  <c r="H14" i="7"/>
  <c r="H15" i="7"/>
  <c r="H16" i="7"/>
  <c r="H17" i="7"/>
  <c r="H12" i="7"/>
  <c r="H5" i="7"/>
  <c r="H6" i="7"/>
  <c r="K6" i="7" s="1"/>
  <c r="H7" i="7"/>
  <c r="H8" i="7"/>
  <c r="H9" i="7"/>
  <c r="K46" i="7"/>
  <c r="K45" i="7"/>
  <c r="K43" i="7"/>
  <c r="K28" i="7"/>
  <c r="K29" i="7"/>
  <c r="K30" i="7"/>
  <c r="K31" i="7"/>
  <c r="K33" i="7"/>
  <c r="K34" i="7"/>
  <c r="K36" i="7"/>
  <c r="K27" i="7"/>
  <c r="K13" i="7"/>
  <c r="K14" i="7"/>
  <c r="K7" i="7"/>
  <c r="K8" i="7"/>
  <c r="J4" i="7"/>
  <c r="H4" i="7"/>
  <c r="N13" i="3" l="1"/>
  <c r="K19" i="8"/>
  <c r="K18" i="8"/>
  <c r="K7" i="8"/>
  <c r="N17" i="3"/>
  <c r="N15" i="3"/>
  <c r="N14" i="3"/>
  <c r="N12" i="3"/>
  <c r="N11" i="3"/>
  <c r="N10" i="3"/>
  <c r="N9" i="3"/>
  <c r="N8" i="3"/>
  <c r="N7" i="3"/>
  <c r="N6" i="3"/>
  <c r="N5" i="3"/>
  <c r="N4" i="3"/>
  <c r="K32" i="7"/>
  <c r="K41" i="7"/>
  <c r="K5" i="7"/>
  <c r="K37" i="7"/>
  <c r="K38" i="7"/>
  <c r="K39" i="7"/>
  <c r="K40" i="7"/>
  <c r="K20" i="7"/>
  <c r="K21" i="7"/>
  <c r="K22" i="7"/>
  <c r="K23" i="7"/>
  <c r="K24" i="7"/>
  <c r="K15" i="7"/>
  <c r="K16" i="7"/>
  <c r="K17" i="7"/>
  <c r="K12" i="7"/>
  <c r="K9" i="7"/>
  <c r="K4" i="7"/>
  <c r="E29" i="5" l="1"/>
  <c r="F29" i="5" s="1"/>
  <c r="E32" i="5"/>
  <c r="F32" i="5" s="1"/>
  <c r="E31" i="5"/>
  <c r="F31" i="5" s="1"/>
  <c r="E30" i="5" l="1"/>
  <c r="F30" i="5" s="1"/>
  <c r="E28" i="5"/>
  <c r="F28" i="5" s="1"/>
  <c r="E21" i="5"/>
  <c r="F21" i="5" s="1"/>
  <c r="E13" i="5"/>
  <c r="F13" i="5" s="1"/>
  <c r="E12" i="5"/>
  <c r="F12" i="5" s="1"/>
  <c r="E10" i="5"/>
  <c r="F10" i="5" s="1"/>
  <c r="E4" i="5"/>
  <c r="F4" i="5" s="1"/>
  <c r="E5" i="5"/>
  <c r="F5" i="5" s="1"/>
  <c r="E6" i="5"/>
  <c r="F6" i="5" s="1"/>
  <c r="E7" i="5"/>
  <c r="F7" i="5" s="1"/>
  <c r="E8" i="5"/>
  <c r="F8" i="5" s="1"/>
  <c r="E9" i="5"/>
  <c r="F9" i="5" s="1"/>
  <c r="E11" i="5"/>
  <c r="F11" i="5" s="1"/>
  <c r="E14" i="5"/>
  <c r="F14" i="5" s="1"/>
  <c r="E15" i="5"/>
  <c r="F15" i="5" s="1"/>
  <c r="E16" i="5"/>
  <c r="F16" i="5" s="1"/>
  <c r="E17" i="5"/>
  <c r="F17" i="5" s="1"/>
  <c r="E18" i="5"/>
  <c r="F18" i="5" s="1"/>
  <c r="E19" i="5"/>
  <c r="F19" i="5"/>
  <c r="E22" i="5"/>
  <c r="F22" i="5" s="1"/>
  <c r="E23" i="5"/>
  <c r="F23" i="5" s="1"/>
  <c r="E24" i="5"/>
  <c r="F24" i="5" s="1"/>
  <c r="E25" i="5"/>
  <c r="F25" i="5" s="1"/>
  <c r="E26" i="5"/>
  <c r="F26" i="5" s="1"/>
  <c r="E27" i="5"/>
  <c r="F27" i="5" s="1"/>
  <c r="E46" i="1"/>
  <c r="F46" i="1" s="1"/>
  <c r="E45" i="1"/>
  <c r="F45" i="1" s="1"/>
  <c r="E43" i="1"/>
  <c r="F43" i="1" s="1"/>
  <c r="E42" i="1"/>
  <c r="F42" i="1" s="1"/>
  <c r="E41" i="1"/>
  <c r="F41" i="1" s="1"/>
  <c r="E40" i="1"/>
  <c r="F40" i="1" s="1"/>
  <c r="E39" i="1"/>
  <c r="F39" i="1" s="1"/>
  <c r="E38" i="1"/>
  <c r="F38" i="1" s="1"/>
  <c r="E37" i="1"/>
  <c r="F37" i="1" s="1"/>
  <c r="E36" i="1"/>
  <c r="F36" i="1" s="1"/>
  <c r="E34" i="1"/>
  <c r="F34" i="1" s="1"/>
  <c r="E33" i="1"/>
  <c r="F33" i="1" s="1"/>
  <c r="E32" i="1"/>
  <c r="F32" i="1" s="1"/>
  <c r="E31" i="1"/>
  <c r="F31" i="1" s="1"/>
  <c r="E30" i="1"/>
  <c r="F30" i="1" s="1"/>
  <c r="E29" i="1"/>
  <c r="F29" i="1" s="1"/>
  <c r="E28" i="1"/>
  <c r="F28" i="1" s="1"/>
  <c r="E27" i="1"/>
  <c r="F27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吳吟珊</author>
  </authors>
  <commentList>
    <comment ref="D17" authorId="0" shapeId="0" xr:uid="{89D72177-C850-4895-A742-431979DEA0CD}">
      <text>
        <r>
          <rPr>
            <b/>
            <sz val="14"/>
            <color indexed="81"/>
            <rFont val="細明體"/>
            <family val="3"/>
            <charset val="136"/>
          </rPr>
          <t>7/13到職,做到7/17(共上4天班)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吳吟珊</author>
  </authors>
  <commentList>
    <comment ref="D20" authorId="0" shapeId="0" xr:uid="{38874A41-0920-492C-93F7-4AAFAD420703}">
      <text>
        <r>
          <rPr>
            <sz val="14"/>
            <color indexed="81"/>
            <rFont val="Tahoma"/>
            <family val="2"/>
          </rPr>
          <t>7/2</t>
        </r>
        <r>
          <rPr>
            <sz val="14"/>
            <color indexed="81"/>
            <rFont val="細明體"/>
            <family val="3"/>
            <charset val="136"/>
          </rPr>
          <t>到職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吳吟珊</author>
  </authors>
  <commentList>
    <comment ref="O5" authorId="0" shapeId="0" xr:uid="{9B2365E9-F5F5-47EA-AFCD-FBF685207199}">
      <text>
        <r>
          <rPr>
            <b/>
            <sz val="14"/>
            <color indexed="81"/>
            <rFont val="細明體"/>
            <family val="3"/>
            <charset val="136"/>
          </rPr>
          <t>因為沒住宿舍</t>
        </r>
      </text>
    </comment>
    <comment ref="O15" authorId="0" shapeId="0" xr:uid="{74E80BF3-D2BB-4013-83CB-57333E7F96CA}">
      <text>
        <r>
          <rPr>
            <b/>
            <sz val="14"/>
            <color indexed="81"/>
            <rFont val="細明體"/>
            <family val="3"/>
            <charset val="136"/>
          </rPr>
          <t>因為沒住宿舍</t>
        </r>
      </text>
    </comment>
    <comment ref="O17" authorId="0" shapeId="0" xr:uid="{FA420184-0B7E-49D6-8F60-63D6B54B522F}">
      <text>
        <r>
          <rPr>
            <b/>
            <sz val="14"/>
            <color indexed="81"/>
            <rFont val="細明體"/>
            <family val="3"/>
            <charset val="136"/>
          </rPr>
          <t>因為沒住宿舍</t>
        </r>
      </text>
    </comment>
  </commentList>
</comments>
</file>

<file path=xl/sharedStrings.xml><?xml version="1.0" encoding="utf-8"?>
<sst xmlns="http://schemas.openxmlformats.org/spreadsheetml/2006/main" count="433" uniqueCount="203">
  <si>
    <t>部門</t>
  </si>
  <si>
    <t>工號</t>
  </si>
  <si>
    <t>姓名</t>
  </si>
  <si>
    <t>發餐費</t>
  </si>
  <si>
    <t>合計</t>
  </si>
  <si>
    <t>補發天數</t>
  </si>
  <si>
    <t>備註</t>
  </si>
  <si>
    <r>
      <rPr>
        <b/>
        <sz val="23"/>
        <rFont val="新細明體"/>
        <family val="1"/>
        <charset val="136"/>
      </rPr>
      <t>特展公司</t>
    </r>
    <r>
      <rPr>
        <b/>
        <sz val="23"/>
        <rFont val="Times New Roman"/>
        <family val="1"/>
      </rPr>
      <t>-</t>
    </r>
    <r>
      <rPr>
        <b/>
        <sz val="23"/>
        <rFont val="新細明體"/>
        <family val="1"/>
        <charset val="136"/>
      </rPr>
      <t>員工伙食選擇清單</t>
    </r>
  </si>
  <si>
    <t>董事長</t>
  </si>
  <si>
    <t>王茂寅</t>
  </si>
  <si>
    <t>財務課</t>
  </si>
  <si>
    <t>"</t>
  </si>
  <si>
    <t>鄭懷惠</t>
  </si>
  <si>
    <t>1011-1</t>
  </si>
  <si>
    <t>陳裕謹</t>
  </si>
  <si>
    <t>賴淑玟</t>
  </si>
  <si>
    <t>總務課</t>
  </si>
  <si>
    <t>李春圓</t>
  </si>
  <si>
    <t>T1077</t>
    <phoneticPr fontId="4" type="noConversion"/>
  </si>
  <si>
    <t>林雅玲</t>
    <phoneticPr fontId="4" type="noConversion"/>
  </si>
  <si>
    <t>廠務課</t>
  </si>
  <si>
    <t>張京海</t>
  </si>
  <si>
    <t>張家銘</t>
  </si>
  <si>
    <t>謝秋菊</t>
  </si>
  <si>
    <t>1045-1</t>
    <phoneticPr fontId="4" type="noConversion"/>
  </si>
  <si>
    <t>蕭威崧</t>
  </si>
  <si>
    <t>1002-1</t>
  </si>
  <si>
    <t>吳岳璋</t>
  </si>
  <si>
    <t>劉嘉萍</t>
  </si>
  <si>
    <t>業務課</t>
  </si>
  <si>
    <t>吳祖福</t>
  </si>
  <si>
    <t xml:space="preserve">洪沛瀅  </t>
  </si>
  <si>
    <t>陳志學</t>
  </si>
  <si>
    <t>林雪華</t>
  </si>
  <si>
    <t>吳榮庭</t>
  </si>
  <si>
    <t>T1074</t>
    <phoneticPr fontId="4" type="noConversion"/>
  </si>
  <si>
    <t>林順億</t>
    <phoneticPr fontId="4" type="noConversion"/>
  </si>
  <si>
    <t>濕式課</t>
  </si>
  <si>
    <t>辜智煌</t>
  </si>
  <si>
    <t>鄧哲昇</t>
  </si>
  <si>
    <t>物料課</t>
  </si>
  <si>
    <t>郭文隆</t>
  </si>
  <si>
    <t>張芙蓉</t>
  </si>
  <si>
    <t>田美紅</t>
  </si>
  <si>
    <t>後段</t>
  </si>
  <si>
    <t>鄧紹煌</t>
  </si>
  <si>
    <t>生產課</t>
    <phoneticPr fontId="4" type="noConversion"/>
  </si>
  <si>
    <t>黃麗花</t>
  </si>
  <si>
    <t>羅美玉</t>
  </si>
  <si>
    <t>技術課</t>
  </si>
  <si>
    <t>楊榮顯</t>
  </si>
  <si>
    <t>馬秀枝</t>
  </si>
  <si>
    <t>1019-1</t>
  </si>
  <si>
    <t>曾怡禎</t>
  </si>
  <si>
    <t>黃景杉</t>
  </si>
  <si>
    <t>品管課</t>
  </si>
  <si>
    <t>劉麗菊</t>
  </si>
  <si>
    <t>薛國昌</t>
  </si>
  <si>
    <t>黃秀利</t>
    <phoneticPr fontId="4" type="noConversion"/>
  </si>
  <si>
    <t>黃清賜</t>
    <phoneticPr fontId="4" type="noConversion"/>
  </si>
  <si>
    <t>1052A</t>
  </si>
  <si>
    <t>陳鍵坪</t>
  </si>
  <si>
    <t>廠務課</t>
    <phoneticPr fontId="4" type="noConversion"/>
  </si>
  <si>
    <t>1054A</t>
    <phoneticPr fontId="4" type="noConversion"/>
  </si>
  <si>
    <t>賴建安</t>
  </si>
  <si>
    <t>外勞</t>
  </si>
  <si>
    <t>阿武</t>
  </si>
  <si>
    <t>陳維忠</t>
  </si>
  <si>
    <t>班恩</t>
  </si>
  <si>
    <t>他尼</t>
  </si>
  <si>
    <t>梅世英</t>
  </si>
  <si>
    <t>T7044</t>
    <phoneticPr fontId="4" type="noConversion"/>
  </si>
  <si>
    <t>阮世英</t>
    <phoneticPr fontId="4" type="noConversion"/>
  </si>
  <si>
    <t>T7045</t>
    <phoneticPr fontId="4" type="noConversion"/>
  </si>
  <si>
    <t>阮庭山</t>
    <phoneticPr fontId="4" type="noConversion"/>
  </si>
  <si>
    <t>哈弟</t>
  </si>
  <si>
    <t>洛尼</t>
  </si>
  <si>
    <t>加利</t>
  </si>
  <si>
    <t>沙達</t>
  </si>
  <si>
    <t>阿飛</t>
  </si>
  <si>
    <t>埃吉</t>
  </si>
  <si>
    <t>總計</t>
    <phoneticPr fontId="3" type="noConversion"/>
  </si>
  <si>
    <t>顧問</t>
  </si>
  <si>
    <t>T4001</t>
  </si>
  <si>
    <t>蔡秋雄</t>
  </si>
  <si>
    <t>T4002</t>
  </si>
  <si>
    <t>黃正煜</t>
  </si>
  <si>
    <t>T4004</t>
  </si>
  <si>
    <t>陳冠呈</t>
  </si>
  <si>
    <t>T4005</t>
  </si>
  <si>
    <t>徐鵬翔</t>
  </si>
  <si>
    <t>T4006</t>
  </si>
  <si>
    <t>陳宗能</t>
  </si>
  <si>
    <t>T4007</t>
  </si>
  <si>
    <t>徐惠美</t>
  </si>
  <si>
    <t>T4021</t>
  </si>
  <si>
    <t>鍾庭會</t>
  </si>
  <si>
    <t xml:space="preserve"> </t>
  </si>
  <si>
    <t>T4022</t>
  </si>
  <si>
    <t>曾文祺</t>
    <phoneticPr fontId="4" type="noConversion"/>
  </si>
  <si>
    <t>T4023</t>
  </si>
  <si>
    <t>陳永勝</t>
  </si>
  <si>
    <t>T4024</t>
  </si>
  <si>
    <t>黃小琪</t>
  </si>
  <si>
    <t>T4008</t>
  </si>
  <si>
    <t>劉貞㚬</t>
  </si>
  <si>
    <t>T4009</t>
  </si>
  <si>
    <t>邱秋蘭</t>
  </si>
  <si>
    <t>T4010</t>
  </si>
  <si>
    <t>蔡振峰</t>
  </si>
  <si>
    <t>T4011</t>
  </si>
  <si>
    <t>林宗宏</t>
  </si>
  <si>
    <t>T4012</t>
  </si>
  <si>
    <t>詹皇德</t>
  </si>
  <si>
    <t>T4013</t>
  </si>
  <si>
    <t>潘曾淑美</t>
  </si>
  <si>
    <t>T4014</t>
  </si>
  <si>
    <t>劉文傑</t>
  </si>
  <si>
    <t>T4017</t>
  </si>
  <si>
    <t>郭丞邑</t>
  </si>
  <si>
    <t>T4015-1</t>
  </si>
  <si>
    <t>林建行</t>
  </si>
  <si>
    <t>T4026</t>
    <phoneticPr fontId="4" type="noConversion"/>
  </si>
  <si>
    <t>卓淽柃</t>
    <phoneticPr fontId="4" type="noConversion"/>
  </si>
  <si>
    <t>T1073</t>
    <phoneticPr fontId="4" type="noConversion"/>
  </si>
  <si>
    <t>吳吟珊</t>
  </si>
  <si>
    <t>T1076</t>
    <phoneticPr fontId="4" type="noConversion"/>
  </si>
  <si>
    <t>陳慧芳</t>
    <phoneticPr fontId="4" type="noConversion"/>
  </si>
  <si>
    <t>T4027</t>
    <phoneticPr fontId="4" type="noConversion"/>
  </si>
  <si>
    <t>許建璋</t>
    <phoneticPr fontId="4" type="noConversion"/>
  </si>
  <si>
    <t>T4031</t>
    <phoneticPr fontId="4" type="noConversion"/>
  </si>
  <si>
    <t>吳珮雯</t>
    <phoneticPr fontId="4" type="noConversion"/>
  </si>
  <si>
    <t>T4032</t>
    <phoneticPr fontId="4" type="noConversion"/>
  </si>
  <si>
    <t>徐源桂</t>
    <phoneticPr fontId="4" type="noConversion"/>
  </si>
  <si>
    <t>T7024</t>
  </si>
  <si>
    <t>黃文金</t>
  </si>
  <si>
    <t>T7026</t>
  </si>
  <si>
    <t>黎如秋</t>
  </si>
  <si>
    <t>T7025</t>
  </si>
  <si>
    <t>阮庭嚴</t>
  </si>
  <si>
    <t>T7028</t>
  </si>
  <si>
    <t>蘇文長</t>
  </si>
  <si>
    <t>T7031</t>
  </si>
  <si>
    <t>阮文玲</t>
  </si>
  <si>
    <t>T7032</t>
  </si>
  <si>
    <t>何文書</t>
  </si>
  <si>
    <t>T7033</t>
  </si>
  <si>
    <t>阮氏幸</t>
  </si>
  <si>
    <t>T7035</t>
  </si>
  <si>
    <t>黎春榮</t>
  </si>
  <si>
    <t>T7030</t>
  </si>
  <si>
    <t>趙氏蘭</t>
  </si>
  <si>
    <t>T7029</t>
  </si>
  <si>
    <t>阮玉麗</t>
  </si>
  <si>
    <t>T7037</t>
  </si>
  <si>
    <t>阮明財</t>
  </si>
  <si>
    <t>T7038</t>
  </si>
  <si>
    <t>阮文決</t>
  </si>
  <si>
    <t>T7039</t>
  </si>
  <si>
    <t>陳日南</t>
  </si>
  <si>
    <t>T7040</t>
  </si>
  <si>
    <t>武黃玉宣</t>
  </si>
  <si>
    <t>T7042</t>
    <phoneticPr fontId="4" type="noConversion"/>
  </si>
  <si>
    <t>陳氏江</t>
    <phoneticPr fontId="4" type="noConversion"/>
  </si>
  <si>
    <t>楊孟雄</t>
    <phoneticPr fontId="4" type="noConversion"/>
  </si>
  <si>
    <t>T7048</t>
    <phoneticPr fontId="4" type="noConversion"/>
  </si>
  <si>
    <t>范鄧光</t>
    <phoneticPr fontId="4" type="noConversion"/>
  </si>
  <si>
    <t>T7046</t>
    <phoneticPr fontId="4" type="noConversion"/>
  </si>
  <si>
    <t>黃文孝</t>
    <phoneticPr fontId="4" type="noConversion"/>
  </si>
  <si>
    <t>T7049</t>
    <phoneticPr fontId="4" type="noConversion"/>
  </si>
  <si>
    <t>鄧光松</t>
    <phoneticPr fontId="4" type="noConversion"/>
  </si>
  <si>
    <t>補發     天數</t>
    <phoneticPr fontId="3" type="noConversion"/>
  </si>
  <si>
    <r>
      <t>(</t>
    </r>
    <r>
      <rPr>
        <b/>
        <sz val="16"/>
        <rFont val="新細明體"/>
        <family val="1"/>
        <charset val="136"/>
      </rPr>
      <t>建全部分</t>
    </r>
    <r>
      <rPr>
        <b/>
        <sz val="16"/>
        <rFont val="Times New Roman"/>
        <family val="1"/>
      </rPr>
      <t xml:space="preserve">) </t>
    </r>
  </si>
  <si>
    <t>不給假日伙食津貼</t>
    <phoneticPr fontId="3" type="noConversion"/>
  </si>
  <si>
    <t xml:space="preserve"> T4029 </t>
    <phoneticPr fontId="4" type="noConversion"/>
  </si>
  <si>
    <t>蘇泰明</t>
    <phoneticPr fontId="4" type="noConversion"/>
  </si>
  <si>
    <t xml:space="preserve"> T4030 </t>
    <phoneticPr fontId="4" type="noConversion"/>
  </si>
  <si>
    <t>李有強</t>
    <phoneticPr fontId="4" type="noConversion"/>
  </si>
  <si>
    <t>T4033</t>
    <phoneticPr fontId="3" type="noConversion"/>
  </si>
  <si>
    <t>假日  加班8hr天數</t>
    <phoneticPr fontId="3" type="noConversion"/>
  </si>
  <si>
    <t>假日加班12hr天數</t>
    <phoneticPr fontId="3" type="noConversion"/>
  </si>
  <si>
    <r>
      <rPr>
        <b/>
        <sz val="8"/>
        <rFont val="新細明體"/>
        <family val="1"/>
        <charset val="136"/>
      </rPr>
      <t>假日未加班</t>
    </r>
    <r>
      <rPr>
        <b/>
        <sz val="9"/>
        <rFont val="新細明體"/>
        <family val="1"/>
        <charset val="136"/>
      </rPr>
      <t xml:space="preserve">    </t>
    </r>
    <r>
      <rPr>
        <b/>
        <sz val="8"/>
        <rFont val="新細明體"/>
        <family val="1"/>
        <charset val="136"/>
      </rPr>
      <t>補貼100/天 合計</t>
    </r>
    <phoneticPr fontId="3" type="noConversion"/>
  </si>
  <si>
    <t>假日加班8hr (75+50)   合計</t>
    <phoneticPr fontId="3" type="noConversion"/>
  </si>
  <si>
    <t>假日加班10hr天數</t>
    <phoneticPr fontId="3" type="noConversion"/>
  </si>
  <si>
    <t>假日加班10hr (75+75)           合計</t>
    <phoneticPr fontId="3" type="noConversion"/>
  </si>
  <si>
    <t>假日加班12hr  (75+75)       合計</t>
    <phoneticPr fontId="3" type="noConversion"/>
  </si>
  <si>
    <r>
      <t>特展公司</t>
    </r>
    <r>
      <rPr>
        <b/>
        <sz val="23"/>
        <rFont val="Times New Roman"/>
        <family val="1"/>
      </rPr>
      <t>-</t>
    </r>
    <r>
      <rPr>
        <b/>
        <sz val="23"/>
        <rFont val="新細明體"/>
        <family val="1"/>
        <charset val="136"/>
      </rPr>
      <t>員工伙食選擇清單</t>
    </r>
    <phoneticPr fontId="3" type="noConversion"/>
  </si>
  <si>
    <t>特展公司-員工伙食選擇清單</t>
    <phoneticPr fontId="3" type="noConversion"/>
  </si>
  <si>
    <t>假日加班8hr         天數</t>
    <phoneticPr fontId="3" type="noConversion"/>
  </si>
  <si>
    <t>假日加班10hr           天數</t>
    <phoneticPr fontId="3" type="noConversion"/>
  </si>
  <si>
    <t>假日加班12hr          天數</t>
    <phoneticPr fontId="3" type="noConversion"/>
  </si>
  <si>
    <t>假日         未加班      天數</t>
    <phoneticPr fontId="3" type="noConversion"/>
  </si>
  <si>
    <t>假日 未加班    天數</t>
    <phoneticPr fontId="3" type="noConversion"/>
  </si>
  <si>
    <t>李汶翰</t>
    <phoneticPr fontId="3" type="noConversion"/>
  </si>
  <si>
    <t>陳春淑</t>
    <phoneticPr fontId="3" type="noConversion"/>
  </si>
  <si>
    <t xml:space="preserve">洪沛瀅  </t>
    <phoneticPr fontId="3" type="noConversion"/>
  </si>
  <si>
    <t>T4034</t>
    <phoneticPr fontId="3" type="noConversion"/>
  </si>
  <si>
    <t>王鳳玉</t>
    <phoneticPr fontId="3" type="noConversion"/>
  </si>
  <si>
    <t>115年7月</t>
    <phoneticPr fontId="3" type="noConversion"/>
  </si>
  <si>
    <t>T7047</t>
    <phoneticPr fontId="4" type="noConversion"/>
  </si>
  <si>
    <t>假日加班8hr 75   合計</t>
    <phoneticPr fontId="3" type="noConversion"/>
  </si>
  <si>
    <t>阮景南</t>
    <phoneticPr fontId="3" type="noConversion"/>
  </si>
  <si>
    <t>鍾廷會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</si>
</sst>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&quot;$&quot;* #,##0_-;\-&quot;$&quot;* #,##0_-;_-&quot;$&quot;* &quot;-&quot;??_-;_-@_-"/>
  </numFmts>
  <fonts count="34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6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b/>
      <sz val="23"/>
      <name val="新細明體"/>
      <family val="1"/>
      <charset val="136"/>
    </font>
    <font>
      <b/>
      <sz val="23"/>
      <name val="Times New Roman"/>
      <family val="1"/>
    </font>
    <font>
      <sz val="14"/>
      <name val="新細明體"/>
      <family val="1"/>
      <charset val="136"/>
    </font>
    <font>
      <sz val="14"/>
      <name val="Times New Roman"/>
      <family val="1"/>
    </font>
    <font>
      <sz val="14"/>
      <color indexed="8"/>
      <name val="新細明體"/>
      <family val="1"/>
      <charset val="136"/>
    </font>
    <font>
      <b/>
      <sz val="12"/>
      <name val="Times New Roman"/>
      <family val="1"/>
    </font>
    <font>
      <b/>
      <sz val="14"/>
      <color indexed="81"/>
      <name val="細明體"/>
      <family val="3"/>
      <charset val="136"/>
    </font>
    <font>
      <sz val="14"/>
      <name val="Microsoft JhengHei"/>
      <family val="1"/>
    </font>
    <font>
      <sz val="14"/>
      <name val="細明體"/>
      <family val="3"/>
      <charset val="136"/>
    </font>
    <font>
      <sz val="14"/>
      <name val="新細明體"/>
      <family val="1"/>
      <charset val="136"/>
      <scheme val="major"/>
    </font>
    <font>
      <b/>
      <sz val="14"/>
      <name val="Times New Roman"/>
      <family val="1"/>
    </font>
    <font>
      <b/>
      <sz val="14"/>
      <color theme="1"/>
      <name val="新細明體"/>
      <family val="1"/>
      <charset val="136"/>
      <scheme val="minor"/>
    </font>
    <font>
      <b/>
      <sz val="16"/>
      <name val="Times New Roman"/>
      <family val="1"/>
    </font>
    <font>
      <b/>
      <sz val="12"/>
      <name val="Microsoft JhengHei"/>
      <family val="2"/>
      <charset val="136"/>
    </font>
    <font>
      <sz val="14"/>
      <color theme="1"/>
      <name val="Times New Roman"/>
      <family val="1"/>
    </font>
    <font>
      <b/>
      <sz val="8"/>
      <name val="新細明體"/>
      <family val="1"/>
      <charset val="136"/>
    </font>
    <font>
      <b/>
      <sz val="9"/>
      <name val="新細明體"/>
      <family val="1"/>
      <charset val="136"/>
    </font>
    <font>
      <b/>
      <sz val="10"/>
      <color rgb="FF0070C0"/>
      <name val="新細明體"/>
      <family val="1"/>
      <charset val="136"/>
    </font>
    <font>
      <b/>
      <sz val="9"/>
      <color rgb="FF0070C0"/>
      <name val="新細明體"/>
      <family val="1"/>
      <charset val="136"/>
    </font>
    <font>
      <b/>
      <sz val="10"/>
      <color rgb="FFC00000"/>
      <name val="新細明體"/>
      <family val="1"/>
      <charset val="136"/>
    </font>
    <font>
      <b/>
      <sz val="9"/>
      <color rgb="FFC00000"/>
      <name val="新細明體"/>
      <family val="1"/>
      <charset val="136"/>
    </font>
    <font>
      <b/>
      <sz val="8"/>
      <color rgb="FF7030A0"/>
      <name val="新細明體"/>
      <family val="1"/>
      <charset val="136"/>
    </font>
    <font>
      <b/>
      <sz val="9"/>
      <color rgb="FF7030A0"/>
      <name val="新細明體"/>
      <family val="1"/>
      <charset val="136"/>
    </font>
    <font>
      <b/>
      <sz val="10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b/>
      <sz val="12"/>
      <name val="新細明體"/>
      <family val="1"/>
      <charset val="136"/>
    </font>
    <font>
      <sz val="9"/>
      <color indexed="81"/>
      <name val="Tahoma"/>
      <family val="2"/>
    </font>
    <font>
      <sz val="14"/>
      <color indexed="81"/>
      <name val="Tahoma"/>
      <family val="2"/>
    </font>
    <font>
      <sz val="14"/>
      <color indexed="81"/>
      <name val="細明體"/>
      <family val="3"/>
      <charset val="136"/>
    </font>
  </fonts>
  <fills count="10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</cellStyleXfs>
  <cellXfs count="124">
    <xf numFmtId="0" fontId="0" fillId="0" borderId="0" xfId="0">
      <alignment vertical="center"/>
    </xf>
    <xf numFmtId="0" fontId="7" fillId="0" borderId="6" xfId="0" applyFont="1" applyBorder="1" applyAlignment="1">
      <alignment horizontal="center" vertical="center" shrinkToFit="1"/>
    </xf>
    <xf numFmtId="0" fontId="8" fillId="2" borderId="2" xfId="0" applyFont="1" applyFill="1" applyBorder="1" applyAlignment="1">
      <alignment horizontal="center" vertical="center" shrinkToFit="1"/>
    </xf>
    <xf numFmtId="0" fontId="8" fillId="0" borderId="6" xfId="0" applyFont="1" applyBorder="1" applyAlignment="1">
      <alignment horizontal="center" vertical="center" shrinkToFit="1"/>
    </xf>
    <xf numFmtId="0" fontId="7" fillId="0" borderId="2" xfId="0" applyFont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shrinkToFit="1"/>
    </xf>
    <xf numFmtId="0" fontId="7" fillId="4" borderId="6" xfId="0" applyFont="1" applyFill="1" applyBorder="1" applyAlignment="1">
      <alignment horizontal="center" vertical="center" shrinkToFit="1"/>
    </xf>
    <xf numFmtId="0" fontId="12" fillId="4" borderId="6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shrinkToFit="1"/>
    </xf>
    <xf numFmtId="0" fontId="8" fillId="4" borderId="6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76" fontId="8" fillId="6" borderId="2" xfId="2" applyNumberFormat="1" applyFont="1" applyFill="1" applyBorder="1" applyAlignment="1">
      <alignment horizontal="center" vertical="center" shrinkToFit="1"/>
    </xf>
    <xf numFmtId="0" fontId="7" fillId="4" borderId="6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shrinkToFit="1"/>
    </xf>
    <xf numFmtId="0" fontId="7" fillId="4" borderId="7" xfId="0" applyFont="1" applyFill="1" applyBorder="1" applyAlignment="1">
      <alignment horizontal="center" vertical="center" shrinkToFit="1"/>
    </xf>
    <xf numFmtId="0" fontId="8" fillId="2" borderId="2" xfId="0" applyFont="1" applyFill="1" applyBorder="1" applyAlignment="1">
      <alignment horizontal="center" vertical="center"/>
    </xf>
    <xf numFmtId="176" fontId="13" fillId="4" borderId="2" xfId="2" applyNumberFormat="1" applyFont="1" applyFill="1" applyBorder="1" applyAlignment="1">
      <alignment horizontal="center" vertical="center" shrinkToFit="1"/>
    </xf>
    <xf numFmtId="0" fontId="7" fillId="4" borderId="7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 shrinkToFit="1"/>
    </xf>
    <xf numFmtId="0" fontId="8" fillId="2" borderId="1" xfId="0" applyFont="1" applyFill="1" applyBorder="1" applyAlignment="1">
      <alignment horizontal="center" vertical="center" shrinkToFit="1"/>
    </xf>
    <xf numFmtId="0" fontId="7" fillId="4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shrinkToFit="1"/>
    </xf>
    <xf numFmtId="0" fontId="2" fillId="0" borderId="13" xfId="0" applyFont="1" applyBorder="1" applyAlignment="1">
      <alignment horizontal="center" vertical="center" shrinkToFit="1"/>
    </xf>
    <xf numFmtId="0" fontId="13" fillId="4" borderId="3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 shrinkToFit="1"/>
    </xf>
    <xf numFmtId="0" fontId="2" fillId="0" borderId="17" xfId="0" applyFont="1" applyBorder="1" applyAlignment="1">
      <alignment horizontal="center" vertical="center" shrinkToFit="1"/>
    </xf>
    <xf numFmtId="0" fontId="2" fillId="0" borderId="18" xfId="0" applyFont="1" applyBorder="1" applyAlignment="1">
      <alignment horizontal="center" vertical="center" shrinkToFi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shrinkToFit="1"/>
    </xf>
    <xf numFmtId="38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 shrinkToFit="1"/>
    </xf>
    <xf numFmtId="0" fontId="16" fillId="0" borderId="0" xfId="0" applyFont="1" applyAlignment="1">
      <alignment horizontal="center" vertical="center"/>
    </xf>
    <xf numFmtId="38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3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shrinkToFit="1"/>
    </xf>
    <xf numFmtId="0" fontId="15" fillId="0" borderId="3" xfId="0" applyFont="1" applyBorder="1" applyAlignment="1">
      <alignment horizontal="center"/>
    </xf>
    <xf numFmtId="43" fontId="6" fillId="0" borderId="0" xfId="1" applyFont="1" applyAlignment="1"/>
    <xf numFmtId="43" fontId="6" fillId="0" borderId="0" xfId="1" applyFont="1" applyBorder="1" applyAlignment="1"/>
    <xf numFmtId="0" fontId="18" fillId="4" borderId="8" xfId="2" applyNumberFormat="1" applyFont="1" applyFill="1" applyBorder="1" applyAlignment="1">
      <alignment vertical="center" wrapText="1" shrinkToFit="1"/>
    </xf>
    <xf numFmtId="0" fontId="8" fillId="0" borderId="11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9" fillId="8" borderId="2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8" fillId="0" borderId="25" xfId="0" applyFont="1" applyBorder="1" applyAlignment="1">
      <alignment horizontal="center" vertical="center" shrinkToFit="1"/>
    </xf>
    <xf numFmtId="0" fontId="8" fillId="2" borderId="26" xfId="0" applyFont="1" applyFill="1" applyBorder="1" applyAlignment="1">
      <alignment horizontal="center" vertical="center" shrinkToFit="1"/>
    </xf>
    <xf numFmtId="0" fontId="7" fillId="4" borderId="26" xfId="0" applyFont="1" applyFill="1" applyBorder="1" applyAlignment="1">
      <alignment horizontal="center" vertical="center"/>
    </xf>
    <xf numFmtId="0" fontId="20" fillId="0" borderId="18" xfId="0" applyFont="1" applyBorder="1" applyAlignment="1">
      <alignment horizontal="center" vertical="center" wrapText="1" shrinkToFit="1"/>
    </xf>
    <xf numFmtId="0" fontId="21" fillId="0" borderId="18" xfId="0" applyFont="1" applyBorder="1" applyAlignment="1">
      <alignment horizontal="center" vertical="center" wrapText="1" shrinkToFit="1"/>
    </xf>
    <xf numFmtId="0" fontId="22" fillId="0" borderId="18" xfId="0" applyFont="1" applyBorder="1" applyAlignment="1">
      <alignment horizontal="center" vertical="center" wrapText="1" shrinkToFit="1"/>
    </xf>
    <xf numFmtId="0" fontId="23" fillId="0" borderId="18" xfId="0" applyFont="1" applyBorder="1" applyAlignment="1">
      <alignment horizontal="center" vertical="center" wrapText="1" shrinkToFit="1"/>
    </xf>
    <xf numFmtId="0" fontId="24" fillId="0" borderId="18" xfId="0" applyFont="1" applyBorder="1" applyAlignment="1">
      <alignment horizontal="center" vertical="center" wrapText="1" shrinkToFit="1"/>
    </xf>
    <xf numFmtId="0" fontId="25" fillId="0" borderId="18" xfId="0" applyFont="1" applyBorder="1" applyAlignment="1">
      <alignment horizontal="center" vertical="center" wrapText="1" shrinkToFit="1"/>
    </xf>
    <xf numFmtId="0" fontId="26" fillId="0" borderId="18" xfId="0" applyFont="1" applyBorder="1" applyAlignment="1">
      <alignment horizontal="center" vertical="center" wrapText="1" shrinkToFit="1"/>
    </xf>
    <xf numFmtId="0" fontId="27" fillId="0" borderId="18" xfId="0" applyFont="1" applyBorder="1" applyAlignment="1">
      <alignment horizontal="center" vertical="center" wrapText="1" shrinkToFit="1"/>
    </xf>
    <xf numFmtId="0" fontId="28" fillId="0" borderId="18" xfId="0" applyFont="1" applyBorder="1" applyAlignment="1">
      <alignment horizontal="center" vertical="center" shrinkToFit="1"/>
    </xf>
    <xf numFmtId="0" fontId="28" fillId="0" borderId="19" xfId="0" applyFont="1" applyBorder="1" applyAlignment="1">
      <alignment horizontal="center" vertical="center" shrinkToFit="1"/>
    </xf>
    <xf numFmtId="0" fontId="0" fillId="0" borderId="13" xfId="0" applyBorder="1" applyAlignment="1">
      <alignment horizontal="center" vertical="center"/>
    </xf>
    <xf numFmtId="0" fontId="8" fillId="4" borderId="25" xfId="0" applyFont="1" applyFill="1" applyBorder="1" applyAlignment="1">
      <alignment horizontal="center" vertical="center"/>
    </xf>
    <xf numFmtId="0" fontId="8" fillId="5" borderId="28" xfId="0" applyFont="1" applyFill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shrinkToFit="1"/>
    </xf>
    <xf numFmtId="176" fontId="8" fillId="6" borderId="7" xfId="2" applyNumberFormat="1" applyFont="1" applyFill="1" applyBorder="1" applyAlignment="1">
      <alignment horizontal="center" vertical="center" shrinkToFit="1"/>
    </xf>
    <xf numFmtId="0" fontId="7" fillId="0" borderId="7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0" fillId="0" borderId="13" xfId="0" applyFont="1" applyBorder="1" applyAlignment="1">
      <alignment horizontal="center" vertical="center" shrinkToFit="1"/>
    </xf>
    <xf numFmtId="0" fontId="30" fillId="0" borderId="14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wrapText="1" shrinkToFit="1"/>
    </xf>
    <xf numFmtId="0" fontId="23" fillId="0" borderId="1" xfId="0" applyFont="1" applyBorder="1" applyAlignment="1">
      <alignment horizontal="center" vertical="center" wrapText="1" shrinkToFit="1"/>
    </xf>
    <xf numFmtId="0" fontId="24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7" fillId="0" borderId="1" xfId="0" applyFont="1" applyBorder="1" applyAlignment="1">
      <alignment horizontal="center" vertical="center" wrapText="1" shrinkToFit="1"/>
    </xf>
    <xf numFmtId="0" fontId="30" fillId="0" borderId="1" xfId="0" applyFont="1" applyBorder="1" applyAlignment="1">
      <alignment horizontal="center" vertical="center" shrinkToFit="1"/>
    </xf>
    <xf numFmtId="0" fontId="30" fillId="0" borderId="15" xfId="0" applyFont="1" applyBorder="1" applyAlignment="1">
      <alignment horizontal="center" vertical="center" shrinkToFit="1"/>
    </xf>
    <xf numFmtId="43" fontId="5" fillId="0" borderId="0" xfId="1" applyFont="1" applyBorder="1" applyAlignment="1"/>
    <xf numFmtId="0" fontId="21" fillId="0" borderId="13" xfId="0" applyFont="1" applyBorder="1" applyAlignment="1">
      <alignment horizontal="center" vertical="center" wrapText="1" shrinkToFit="1"/>
    </xf>
    <xf numFmtId="0" fontId="22" fillId="0" borderId="13" xfId="0" applyFont="1" applyBorder="1" applyAlignment="1">
      <alignment horizontal="center" vertical="center" wrapText="1" shrinkToFit="1"/>
    </xf>
    <xf numFmtId="0" fontId="23" fillId="0" borderId="13" xfId="0" applyFont="1" applyBorder="1" applyAlignment="1">
      <alignment horizontal="center" vertical="center" wrapText="1" shrinkToFit="1"/>
    </xf>
    <xf numFmtId="0" fontId="24" fillId="0" borderId="13" xfId="0" applyFont="1" applyBorder="1" applyAlignment="1">
      <alignment horizontal="center" vertical="center" wrapText="1" shrinkToFit="1"/>
    </xf>
    <xf numFmtId="0" fontId="25" fillId="0" borderId="13" xfId="0" applyFont="1" applyBorder="1" applyAlignment="1">
      <alignment horizontal="center" vertical="center" wrapText="1" shrinkToFit="1"/>
    </xf>
    <xf numFmtId="0" fontId="27" fillId="0" borderId="13" xfId="0" applyFont="1" applyBorder="1" applyAlignment="1">
      <alignment horizontal="center" vertical="center" wrapText="1" shrinkToFit="1"/>
    </xf>
    <xf numFmtId="0" fontId="8" fillId="0" borderId="31" xfId="0" applyFont="1" applyBorder="1" applyAlignment="1">
      <alignment horizontal="center" vertical="center"/>
    </xf>
    <xf numFmtId="0" fontId="8" fillId="7" borderId="32" xfId="0" applyFont="1" applyFill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43" fontId="5" fillId="0" borderId="21" xfId="1" applyFont="1" applyBorder="1" applyAlignment="1">
      <alignment horizontal="center"/>
    </xf>
    <xf numFmtId="43" fontId="5" fillId="0" borderId="4" xfId="1" applyFont="1" applyBorder="1" applyAlignment="1">
      <alignment horizontal="center"/>
    </xf>
    <xf numFmtId="43" fontId="5" fillId="0" borderId="5" xfId="1" applyFont="1" applyBorder="1" applyAlignment="1">
      <alignment horizontal="center"/>
    </xf>
    <xf numFmtId="0" fontId="29" fillId="0" borderId="27" xfId="0" applyFont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horizontal="center" vertical="center"/>
    </xf>
    <xf numFmtId="0" fontId="17" fillId="4" borderId="9" xfId="0" applyFont="1" applyFill="1" applyBorder="1" applyAlignment="1">
      <alignment horizontal="center" vertical="center"/>
    </xf>
    <xf numFmtId="0" fontId="17" fillId="4" borderId="10" xfId="0" applyFont="1" applyFill="1" applyBorder="1" applyAlignment="1">
      <alignment horizontal="center" vertical="center"/>
    </xf>
    <xf numFmtId="0" fontId="17" fillId="4" borderId="20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9" fillId="0" borderId="30" xfId="0" applyFont="1" applyBorder="1" applyAlignment="1">
      <alignment horizontal="center" vertical="center"/>
    </xf>
  </cellXfs>
  <cellStyles count="3">
    <cellStyle name="一般" xfId="0" builtinId="0"/>
    <cellStyle name="千分位" xfId="1" builtinId="3"/>
    <cellStyle name="貨幣" xfId="2" builtinId="4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50116-F31B-4940-BCC8-C07549DF0AA9}">
  <dimension ref="B1:Q47"/>
  <sheetViews>
    <sheetView topLeftCell="A21" workbookViewId="0">
      <selection activeCell="G17" sqref="G17"/>
    </sheetView>
  </sheetViews>
  <sheetFormatPr defaultRowHeight="16.2"/>
  <cols>
    <col min="1" max="1" width="1.109375" customWidth="1"/>
    <col min="2" max="8" width="11.44140625" customWidth="1"/>
  </cols>
  <sheetData>
    <row r="1" spans="2:17" ht="32.4" thickBot="1">
      <c r="B1" s="110" t="s">
        <v>186</v>
      </c>
      <c r="C1" s="111"/>
      <c r="D1" s="111"/>
      <c r="E1" s="111"/>
      <c r="F1" s="111"/>
      <c r="G1" s="111"/>
      <c r="H1" s="112"/>
      <c r="I1" s="55"/>
      <c r="J1" s="55"/>
      <c r="K1" s="55"/>
      <c r="L1" s="55"/>
      <c r="M1" s="55"/>
      <c r="N1" s="55"/>
      <c r="O1" s="55"/>
      <c r="P1" s="55"/>
      <c r="Q1" s="55"/>
    </row>
    <row r="2" spans="2:17" ht="20.399999999999999" thickBot="1">
      <c r="G2" s="120" t="s">
        <v>198</v>
      </c>
      <c r="H2" s="120"/>
      <c r="K2" s="43"/>
      <c r="L2" s="43"/>
    </row>
    <row r="3" spans="2:17" ht="45.6" thickTop="1" thickBot="1">
      <c r="B3" s="35" t="s">
        <v>0</v>
      </c>
      <c r="C3" s="36" t="s">
        <v>1</v>
      </c>
      <c r="D3" s="36" t="s">
        <v>2</v>
      </c>
      <c r="E3" s="36" t="s">
        <v>3</v>
      </c>
      <c r="F3" s="36" t="s">
        <v>4</v>
      </c>
      <c r="G3" s="37" t="s">
        <v>171</v>
      </c>
      <c r="H3" s="38" t="s">
        <v>6</v>
      </c>
    </row>
    <row r="4" spans="2:17" ht="20.399999999999999" thickTop="1">
      <c r="B4" s="19" t="s">
        <v>8</v>
      </c>
      <c r="C4" s="6">
        <v>1001</v>
      </c>
      <c r="D4" s="34" t="s">
        <v>9</v>
      </c>
      <c r="E4" s="44">
        <f>1800/30*G4</f>
        <v>1800</v>
      </c>
      <c r="F4" s="44">
        <f>E4+300</f>
        <v>2100</v>
      </c>
      <c r="G4" s="45">
        <v>30</v>
      </c>
      <c r="H4" s="46"/>
    </row>
    <row r="5" spans="2:17" ht="19.8">
      <c r="B5" s="1" t="s">
        <v>10</v>
      </c>
      <c r="C5" s="2">
        <v>1050</v>
      </c>
      <c r="D5" s="4" t="s">
        <v>12</v>
      </c>
      <c r="E5" s="39">
        <f t="shared" ref="E5:E46" si="0">1800/30*G5</f>
        <v>1800</v>
      </c>
      <c r="F5" s="39">
        <f t="shared" ref="F5:F46" si="1">E5+300</f>
        <v>2100</v>
      </c>
      <c r="G5" s="45">
        <v>30</v>
      </c>
      <c r="H5" s="41"/>
    </row>
    <row r="6" spans="2:17" ht="19.8">
      <c r="B6" s="3" t="s">
        <v>11</v>
      </c>
      <c r="C6" s="2" t="s">
        <v>13</v>
      </c>
      <c r="D6" s="4" t="s">
        <v>14</v>
      </c>
      <c r="E6" s="39">
        <f t="shared" si="0"/>
        <v>1800</v>
      </c>
      <c r="F6" s="39">
        <f t="shared" si="1"/>
        <v>2100</v>
      </c>
      <c r="G6" s="45">
        <v>30</v>
      </c>
      <c r="H6" s="41"/>
    </row>
    <row r="7" spans="2:17" ht="19.8">
      <c r="B7" s="3" t="s">
        <v>11</v>
      </c>
      <c r="C7" s="2">
        <v>1060</v>
      </c>
      <c r="D7" s="4" t="s">
        <v>15</v>
      </c>
      <c r="E7" s="39">
        <f t="shared" si="0"/>
        <v>1800</v>
      </c>
      <c r="F7" s="39">
        <f t="shared" si="1"/>
        <v>2100</v>
      </c>
      <c r="G7" s="45">
        <v>30</v>
      </c>
      <c r="H7" s="41"/>
    </row>
    <row r="8" spans="2:17" ht="19.8">
      <c r="B8" s="1" t="s">
        <v>16</v>
      </c>
      <c r="C8" s="2">
        <v>1003</v>
      </c>
      <c r="D8" s="4" t="s">
        <v>17</v>
      </c>
      <c r="E8" s="39">
        <f t="shared" si="0"/>
        <v>1800</v>
      </c>
      <c r="F8" s="39">
        <f t="shared" si="1"/>
        <v>2100</v>
      </c>
      <c r="G8" s="45">
        <v>30</v>
      </c>
      <c r="H8" s="41"/>
    </row>
    <row r="9" spans="2:17" ht="19.8">
      <c r="B9" s="3" t="s">
        <v>11</v>
      </c>
      <c r="C9" s="2" t="s">
        <v>18</v>
      </c>
      <c r="D9" s="4" t="s">
        <v>19</v>
      </c>
      <c r="E9" s="39">
        <f t="shared" si="0"/>
        <v>1800</v>
      </c>
      <c r="F9" s="39">
        <f t="shared" si="1"/>
        <v>2100</v>
      </c>
      <c r="G9" s="45">
        <v>30</v>
      </c>
      <c r="H9" s="41"/>
    </row>
    <row r="10" spans="2:17" ht="19.8">
      <c r="B10" s="3"/>
      <c r="C10" s="42"/>
      <c r="D10" s="4"/>
      <c r="E10" s="39"/>
      <c r="F10" s="39"/>
      <c r="G10" s="39"/>
      <c r="H10" s="41"/>
    </row>
    <row r="11" spans="2:17" ht="19.8">
      <c r="B11" s="3"/>
      <c r="C11" s="42"/>
      <c r="D11" s="4"/>
      <c r="E11" s="39"/>
      <c r="F11" s="39"/>
      <c r="G11" s="39"/>
      <c r="H11" s="41"/>
    </row>
    <row r="12" spans="2:17" ht="19.8">
      <c r="B12" s="1" t="s">
        <v>20</v>
      </c>
      <c r="C12" s="2">
        <v>1046</v>
      </c>
      <c r="D12" s="4" t="s">
        <v>21</v>
      </c>
      <c r="E12" s="39">
        <f t="shared" si="0"/>
        <v>1800</v>
      </c>
      <c r="F12" s="39">
        <f t="shared" si="1"/>
        <v>2100</v>
      </c>
      <c r="G12" s="45">
        <v>30</v>
      </c>
      <c r="H12" s="41"/>
    </row>
    <row r="13" spans="2:17" ht="19.8">
      <c r="B13" s="3" t="s">
        <v>11</v>
      </c>
      <c r="C13" s="2">
        <v>1014</v>
      </c>
      <c r="D13" s="4" t="s">
        <v>22</v>
      </c>
      <c r="E13" s="39">
        <f t="shared" si="0"/>
        <v>1800</v>
      </c>
      <c r="F13" s="39">
        <f t="shared" si="1"/>
        <v>2100</v>
      </c>
      <c r="G13" s="45">
        <v>30</v>
      </c>
      <c r="H13" s="41"/>
    </row>
    <row r="14" spans="2:17" ht="19.8">
      <c r="B14" s="3" t="s">
        <v>11</v>
      </c>
      <c r="C14" s="2">
        <v>1015</v>
      </c>
      <c r="D14" s="4" t="s">
        <v>23</v>
      </c>
      <c r="E14" s="39">
        <f t="shared" si="0"/>
        <v>1800</v>
      </c>
      <c r="F14" s="39">
        <f t="shared" si="1"/>
        <v>2100</v>
      </c>
      <c r="G14" s="45">
        <v>30</v>
      </c>
      <c r="H14" s="41"/>
    </row>
    <row r="15" spans="2:17" ht="19.8">
      <c r="B15" s="3" t="s">
        <v>11</v>
      </c>
      <c r="C15" s="5" t="s">
        <v>24</v>
      </c>
      <c r="D15" s="4" t="s">
        <v>25</v>
      </c>
      <c r="E15" s="39">
        <f t="shared" si="0"/>
        <v>1800</v>
      </c>
      <c r="F15" s="39">
        <f t="shared" si="1"/>
        <v>2100</v>
      </c>
      <c r="G15" s="45">
        <v>30</v>
      </c>
      <c r="H15" s="41"/>
    </row>
    <row r="16" spans="2:17" ht="19.8">
      <c r="B16" s="3" t="s">
        <v>11</v>
      </c>
      <c r="C16" s="2" t="s">
        <v>26</v>
      </c>
      <c r="D16" s="4" t="s">
        <v>27</v>
      </c>
      <c r="E16" s="39">
        <f t="shared" si="0"/>
        <v>1800</v>
      </c>
      <c r="F16" s="39">
        <f t="shared" si="1"/>
        <v>2100</v>
      </c>
      <c r="G16" s="45">
        <v>30</v>
      </c>
      <c r="H16" s="41"/>
    </row>
    <row r="17" spans="2:8" ht="19.8">
      <c r="B17" s="3" t="s">
        <v>11</v>
      </c>
      <c r="C17" s="2">
        <v>1059</v>
      </c>
      <c r="D17" s="4" t="s">
        <v>28</v>
      </c>
      <c r="E17" s="39">
        <f t="shared" si="0"/>
        <v>1380</v>
      </c>
      <c r="F17" s="39">
        <f t="shared" si="1"/>
        <v>1680</v>
      </c>
      <c r="G17" s="45">
        <v>23</v>
      </c>
      <c r="H17" s="41"/>
    </row>
    <row r="18" spans="2:8" ht="18">
      <c r="B18" s="3"/>
      <c r="C18" s="50"/>
      <c r="D18" s="50"/>
      <c r="E18" s="39"/>
      <c r="F18" s="39"/>
      <c r="G18" s="39"/>
      <c r="H18" s="41"/>
    </row>
    <row r="19" spans="2:8" ht="19.8">
      <c r="B19" s="1" t="s">
        <v>29</v>
      </c>
      <c r="C19" s="2">
        <v>1004</v>
      </c>
      <c r="D19" s="4" t="s">
        <v>30</v>
      </c>
      <c r="E19" s="39">
        <f t="shared" si="0"/>
        <v>1800</v>
      </c>
      <c r="F19" s="39">
        <f t="shared" si="1"/>
        <v>2100</v>
      </c>
      <c r="G19" s="45">
        <v>30</v>
      </c>
      <c r="H19" s="41"/>
    </row>
    <row r="20" spans="2:8" ht="19.8">
      <c r="B20" s="3" t="s">
        <v>11</v>
      </c>
      <c r="C20" s="2">
        <v>1008</v>
      </c>
      <c r="D20" s="4" t="s">
        <v>31</v>
      </c>
      <c r="E20" s="39">
        <f t="shared" si="0"/>
        <v>1800</v>
      </c>
      <c r="F20" s="39">
        <f t="shared" si="1"/>
        <v>2100</v>
      </c>
      <c r="G20" s="45">
        <v>30</v>
      </c>
      <c r="H20" s="41"/>
    </row>
    <row r="21" spans="2:8" ht="19.8">
      <c r="B21" s="3" t="s">
        <v>11</v>
      </c>
      <c r="C21" s="2">
        <v>2040</v>
      </c>
      <c r="D21" s="4" t="s">
        <v>32</v>
      </c>
      <c r="E21" s="39">
        <f t="shared" si="0"/>
        <v>1800</v>
      </c>
      <c r="F21" s="39">
        <f t="shared" si="1"/>
        <v>2100</v>
      </c>
      <c r="G21" s="45">
        <v>30</v>
      </c>
      <c r="H21" s="41"/>
    </row>
    <row r="22" spans="2:8" ht="19.8">
      <c r="B22" s="3" t="s">
        <v>11</v>
      </c>
      <c r="C22" s="2">
        <v>1041</v>
      </c>
      <c r="D22" s="4" t="s">
        <v>33</v>
      </c>
      <c r="E22" s="39">
        <f t="shared" si="0"/>
        <v>1800</v>
      </c>
      <c r="F22" s="39">
        <f t="shared" si="1"/>
        <v>2100</v>
      </c>
      <c r="G22" s="45">
        <v>30</v>
      </c>
      <c r="H22" s="41"/>
    </row>
    <row r="23" spans="2:8" ht="19.8">
      <c r="B23" s="3" t="s">
        <v>11</v>
      </c>
      <c r="C23" s="2">
        <v>1069</v>
      </c>
      <c r="D23" s="4" t="s">
        <v>34</v>
      </c>
      <c r="E23" s="39">
        <f t="shared" si="0"/>
        <v>1800</v>
      </c>
      <c r="F23" s="39">
        <f t="shared" si="1"/>
        <v>2100</v>
      </c>
      <c r="G23" s="45">
        <v>30</v>
      </c>
      <c r="H23" s="41"/>
    </row>
    <row r="24" spans="2:8" ht="19.8">
      <c r="B24" s="3" t="s">
        <v>11</v>
      </c>
      <c r="C24" s="2" t="s">
        <v>35</v>
      </c>
      <c r="D24" s="4" t="s">
        <v>36</v>
      </c>
      <c r="E24" s="39">
        <f t="shared" si="0"/>
        <v>1080</v>
      </c>
      <c r="F24" s="39">
        <f t="shared" si="1"/>
        <v>1380</v>
      </c>
      <c r="G24" s="45">
        <v>18</v>
      </c>
      <c r="H24" s="41"/>
    </row>
    <row r="25" spans="2:8" ht="19.8">
      <c r="B25" s="3"/>
      <c r="C25" s="42"/>
      <c r="D25" s="4"/>
      <c r="E25" s="39"/>
      <c r="F25" s="39"/>
      <c r="G25" s="39"/>
      <c r="H25" s="41"/>
    </row>
    <row r="26" spans="2:8" ht="19.8">
      <c r="B26" s="1"/>
      <c r="C26" s="42"/>
      <c r="D26" s="4"/>
      <c r="E26" s="39"/>
      <c r="F26" s="39"/>
      <c r="G26" s="39"/>
      <c r="H26" s="41"/>
    </row>
    <row r="27" spans="2:8" ht="19.8">
      <c r="B27" s="1" t="s">
        <v>37</v>
      </c>
      <c r="C27" s="2">
        <v>2015</v>
      </c>
      <c r="D27" s="4" t="s">
        <v>38</v>
      </c>
      <c r="E27" s="39">
        <f t="shared" si="0"/>
        <v>480</v>
      </c>
      <c r="F27" s="39">
        <f t="shared" si="1"/>
        <v>780</v>
      </c>
      <c r="G27" s="45">
        <v>8</v>
      </c>
      <c r="H27" s="41"/>
    </row>
    <row r="28" spans="2:8" ht="19.8">
      <c r="B28" s="3" t="s">
        <v>11</v>
      </c>
      <c r="C28" s="2">
        <v>2043</v>
      </c>
      <c r="D28" s="4" t="s">
        <v>39</v>
      </c>
      <c r="E28" s="39">
        <f t="shared" si="0"/>
        <v>1800</v>
      </c>
      <c r="F28" s="39">
        <f t="shared" si="1"/>
        <v>2100</v>
      </c>
      <c r="G28" s="45">
        <v>30</v>
      </c>
      <c r="H28" s="41"/>
    </row>
    <row r="29" spans="2:8" ht="19.8">
      <c r="B29" s="1" t="s">
        <v>40</v>
      </c>
      <c r="C29" s="2">
        <v>2013</v>
      </c>
      <c r="D29" s="4" t="s">
        <v>41</v>
      </c>
      <c r="E29" s="39">
        <f t="shared" si="0"/>
        <v>480</v>
      </c>
      <c r="F29" s="39">
        <f t="shared" si="1"/>
        <v>780</v>
      </c>
      <c r="G29" s="45">
        <v>8</v>
      </c>
      <c r="H29" s="41"/>
    </row>
    <row r="30" spans="2:8" ht="19.8">
      <c r="B30" s="3" t="s">
        <v>11</v>
      </c>
      <c r="C30" s="2">
        <v>2014</v>
      </c>
      <c r="D30" s="4" t="s">
        <v>42</v>
      </c>
      <c r="E30" s="39">
        <f t="shared" si="0"/>
        <v>1800</v>
      </c>
      <c r="F30" s="39">
        <f t="shared" si="1"/>
        <v>2100</v>
      </c>
      <c r="G30" s="45">
        <v>30</v>
      </c>
      <c r="H30" s="41"/>
    </row>
    <row r="31" spans="2:8" ht="19.8">
      <c r="B31" s="3" t="s">
        <v>11</v>
      </c>
      <c r="C31" s="2">
        <v>2045</v>
      </c>
      <c r="D31" s="4" t="s">
        <v>43</v>
      </c>
      <c r="E31" s="39">
        <f t="shared" si="0"/>
        <v>1800</v>
      </c>
      <c r="F31" s="39">
        <f t="shared" si="1"/>
        <v>2100</v>
      </c>
      <c r="G31" s="45">
        <v>30</v>
      </c>
      <c r="H31" s="41"/>
    </row>
    <row r="32" spans="2:8" ht="19.8">
      <c r="B32" s="7" t="s">
        <v>44</v>
      </c>
      <c r="C32" s="2">
        <v>2020</v>
      </c>
      <c r="D32" s="4" t="s">
        <v>45</v>
      </c>
      <c r="E32" s="39">
        <f t="shared" si="0"/>
        <v>1800</v>
      </c>
      <c r="F32" s="39">
        <f t="shared" si="1"/>
        <v>2100</v>
      </c>
      <c r="G32" s="45">
        <v>30</v>
      </c>
      <c r="H32" s="41"/>
    </row>
    <row r="33" spans="2:8" ht="19.8">
      <c r="B33" s="8" t="s">
        <v>46</v>
      </c>
      <c r="C33" s="9">
        <v>2005</v>
      </c>
      <c r="D33" s="4" t="s">
        <v>47</v>
      </c>
      <c r="E33" s="39">
        <f t="shared" si="0"/>
        <v>1800</v>
      </c>
      <c r="F33" s="39">
        <f t="shared" si="1"/>
        <v>2100</v>
      </c>
      <c r="G33" s="45">
        <v>30</v>
      </c>
      <c r="H33" s="41"/>
    </row>
    <row r="34" spans="2:8" ht="19.8">
      <c r="B34" s="10" t="s">
        <v>11</v>
      </c>
      <c r="C34" s="9">
        <v>2002</v>
      </c>
      <c r="D34" s="4" t="s">
        <v>48</v>
      </c>
      <c r="E34" s="39">
        <f t="shared" si="0"/>
        <v>1800</v>
      </c>
      <c r="F34" s="39">
        <f t="shared" si="1"/>
        <v>2100</v>
      </c>
      <c r="G34" s="45">
        <v>30</v>
      </c>
      <c r="H34" s="41"/>
    </row>
    <row r="35" spans="2:8" ht="19.8">
      <c r="B35" s="10"/>
      <c r="C35" s="9">
        <v>2048</v>
      </c>
      <c r="D35" s="4" t="s">
        <v>194</v>
      </c>
      <c r="E35" s="39">
        <f t="shared" si="0"/>
        <v>1800</v>
      </c>
      <c r="F35" s="39">
        <f>E35+300</f>
        <v>2100</v>
      </c>
      <c r="G35" s="45">
        <v>30</v>
      </c>
      <c r="H35" s="41"/>
    </row>
    <row r="36" spans="2:8" ht="19.8">
      <c r="B36" s="7" t="s">
        <v>49</v>
      </c>
      <c r="C36" s="9">
        <v>2008</v>
      </c>
      <c r="D36" s="4" t="s">
        <v>50</v>
      </c>
      <c r="E36" s="39">
        <f t="shared" si="0"/>
        <v>480</v>
      </c>
      <c r="F36" s="39">
        <f t="shared" si="1"/>
        <v>780</v>
      </c>
      <c r="G36" s="45">
        <v>8</v>
      </c>
      <c r="H36" s="41"/>
    </row>
    <row r="37" spans="2:8" ht="19.8">
      <c r="B37" s="10" t="s">
        <v>11</v>
      </c>
      <c r="C37" s="9">
        <v>2011</v>
      </c>
      <c r="D37" s="4" t="s">
        <v>51</v>
      </c>
      <c r="E37" s="39">
        <f t="shared" si="0"/>
        <v>1800</v>
      </c>
      <c r="F37" s="39">
        <f t="shared" si="1"/>
        <v>2100</v>
      </c>
      <c r="G37" s="45">
        <v>30</v>
      </c>
      <c r="H37" s="41"/>
    </row>
    <row r="38" spans="2:8" ht="19.8">
      <c r="B38" s="10" t="s">
        <v>11</v>
      </c>
      <c r="C38" s="11" t="s">
        <v>52</v>
      </c>
      <c r="D38" s="4" t="s">
        <v>53</v>
      </c>
      <c r="E38" s="39">
        <f t="shared" si="0"/>
        <v>720</v>
      </c>
      <c r="F38" s="39">
        <f t="shared" si="1"/>
        <v>1020</v>
      </c>
      <c r="G38" s="45">
        <v>12</v>
      </c>
      <c r="H38" s="41"/>
    </row>
    <row r="39" spans="2:8" ht="19.8">
      <c r="B39" s="10" t="s">
        <v>11</v>
      </c>
      <c r="C39" s="11">
        <v>2042</v>
      </c>
      <c r="D39" s="4" t="s">
        <v>54</v>
      </c>
      <c r="E39" s="39">
        <f t="shared" si="0"/>
        <v>1800</v>
      </c>
      <c r="F39" s="39">
        <f t="shared" si="1"/>
        <v>2100</v>
      </c>
      <c r="G39" s="45">
        <v>30</v>
      </c>
      <c r="H39" s="41"/>
    </row>
    <row r="40" spans="2:8" ht="19.8">
      <c r="B40" s="7" t="s">
        <v>55</v>
      </c>
      <c r="C40" s="11">
        <v>2039</v>
      </c>
      <c r="D40" s="4" t="s">
        <v>56</v>
      </c>
      <c r="E40" s="39">
        <f t="shared" si="0"/>
        <v>1800</v>
      </c>
      <c r="F40" s="39">
        <f t="shared" si="1"/>
        <v>2100</v>
      </c>
      <c r="G40" s="45">
        <v>30</v>
      </c>
      <c r="H40" s="41"/>
    </row>
    <row r="41" spans="2:8" ht="19.8">
      <c r="B41" s="10" t="s">
        <v>11</v>
      </c>
      <c r="C41" s="11">
        <v>2031</v>
      </c>
      <c r="D41" s="4" t="s">
        <v>57</v>
      </c>
      <c r="E41" s="39">
        <f t="shared" si="0"/>
        <v>1200</v>
      </c>
      <c r="F41" s="39">
        <f t="shared" si="1"/>
        <v>1500</v>
      </c>
      <c r="G41" s="45">
        <v>20</v>
      </c>
      <c r="H41" s="41"/>
    </row>
    <row r="42" spans="2:8" ht="19.8">
      <c r="B42" s="10" t="s">
        <v>11</v>
      </c>
      <c r="C42" s="11">
        <v>2047</v>
      </c>
      <c r="D42" s="12" t="s">
        <v>58</v>
      </c>
      <c r="E42" s="39">
        <f t="shared" si="0"/>
        <v>1800</v>
      </c>
      <c r="F42" s="39">
        <f t="shared" si="1"/>
        <v>2100</v>
      </c>
      <c r="G42" s="45">
        <v>30</v>
      </c>
      <c r="H42" s="41"/>
    </row>
    <row r="43" spans="2:8" ht="19.8">
      <c r="B43" s="10" t="s">
        <v>11</v>
      </c>
      <c r="C43" s="11">
        <v>2018</v>
      </c>
      <c r="D43" s="12" t="s">
        <v>59</v>
      </c>
      <c r="E43" s="39">
        <f t="shared" si="0"/>
        <v>1800</v>
      </c>
      <c r="F43" s="39">
        <f t="shared" si="1"/>
        <v>2100</v>
      </c>
      <c r="G43" s="45">
        <v>30</v>
      </c>
      <c r="H43" s="41"/>
    </row>
    <row r="44" spans="2:8" ht="22.2">
      <c r="B44" s="117" t="s">
        <v>172</v>
      </c>
      <c r="C44" s="118"/>
      <c r="D44" s="118"/>
      <c r="E44" s="118"/>
      <c r="F44" s="118"/>
      <c r="G44" s="118"/>
      <c r="H44" s="119"/>
    </row>
    <row r="45" spans="2:8" ht="19.8">
      <c r="B45" s="7" t="s">
        <v>29</v>
      </c>
      <c r="C45" s="13" t="s">
        <v>60</v>
      </c>
      <c r="D45" s="4" t="s">
        <v>61</v>
      </c>
      <c r="E45" s="39">
        <f t="shared" si="0"/>
        <v>1440</v>
      </c>
      <c r="F45" s="39">
        <f t="shared" si="1"/>
        <v>1740</v>
      </c>
      <c r="G45" s="45">
        <v>24</v>
      </c>
      <c r="H45" s="41"/>
    </row>
    <row r="46" spans="2:8" ht="20.399999999999999" thickBot="1">
      <c r="B46" s="32" t="s">
        <v>62</v>
      </c>
      <c r="C46" s="33" t="s">
        <v>63</v>
      </c>
      <c r="D46" s="29" t="s">
        <v>64</v>
      </c>
      <c r="E46" s="47">
        <f t="shared" si="0"/>
        <v>1800</v>
      </c>
      <c r="F46" s="47">
        <f t="shared" si="1"/>
        <v>2100</v>
      </c>
      <c r="G46" s="48">
        <v>30</v>
      </c>
      <c r="H46" s="49"/>
    </row>
    <row r="47" spans="2:8" ht="16.8" thickTop="1"/>
  </sheetData>
  <mergeCells count="3">
    <mergeCell ref="B44:H44"/>
    <mergeCell ref="B1:H1"/>
    <mergeCell ref="G2:H2"/>
  </mergeCells>
  <phoneticPr fontId="3" type="noConversion"/>
  <conditionalFormatting sqref="G4:G9 G12:G17 G19:G24 G27:G43">
    <cfRule type="cellIs" dxfId="2" priority="2" operator="lessThan">
      <formula>30</formula>
    </cfRule>
  </conditionalFormatting>
  <conditionalFormatting sqref="G45:G46">
    <cfRule type="cellIs" dxfId="1" priority="1" operator="lessThan">
      <formula>30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251BF-6602-4F17-9EE4-91B68272260E}">
  <dimension ref="B1:L47"/>
  <sheetViews>
    <sheetView workbookViewId="0">
      <selection activeCell="J10" sqref="J10"/>
    </sheetView>
  </sheetViews>
  <sheetFormatPr defaultRowHeight="16.2"/>
  <cols>
    <col min="1" max="1" width="1.109375" customWidth="1"/>
    <col min="2" max="4" width="11.44140625" customWidth="1"/>
  </cols>
  <sheetData>
    <row r="1" spans="2:12" ht="32.4" thickBot="1">
      <c r="B1" s="110" t="s">
        <v>187</v>
      </c>
      <c r="C1" s="111"/>
      <c r="D1" s="111"/>
      <c r="E1" s="111"/>
      <c r="F1" s="111"/>
      <c r="G1" s="111"/>
      <c r="H1" s="111"/>
      <c r="I1" s="111"/>
      <c r="J1" s="111"/>
      <c r="K1" s="111"/>
      <c r="L1" s="112"/>
    </row>
    <row r="2" spans="2:12" ht="20.399999999999999" thickBot="1">
      <c r="G2" s="43"/>
      <c r="K2" s="113" t="s">
        <v>198</v>
      </c>
      <c r="L2" s="113"/>
    </row>
    <row r="3" spans="2:12" ht="51.6" thickTop="1" thickBot="1">
      <c r="B3" s="35" t="s">
        <v>0</v>
      </c>
      <c r="C3" s="36" t="s">
        <v>1</v>
      </c>
      <c r="D3" s="36" t="s">
        <v>2</v>
      </c>
      <c r="E3" s="68" t="s">
        <v>179</v>
      </c>
      <c r="F3" s="69" t="s">
        <v>200</v>
      </c>
      <c r="G3" s="70" t="s">
        <v>183</v>
      </c>
      <c r="H3" s="71" t="s">
        <v>184</v>
      </c>
      <c r="I3" s="72" t="s">
        <v>180</v>
      </c>
      <c r="J3" s="73" t="s">
        <v>185</v>
      </c>
      <c r="K3" s="74" t="s">
        <v>81</v>
      </c>
      <c r="L3" s="75" t="s">
        <v>6</v>
      </c>
    </row>
    <row r="4" spans="2:12" ht="20.399999999999999" thickTop="1">
      <c r="B4" s="19" t="s">
        <v>8</v>
      </c>
      <c r="C4" s="6">
        <v>1001</v>
      </c>
      <c r="D4" s="34" t="s">
        <v>9</v>
      </c>
      <c r="E4" s="76"/>
      <c r="F4" s="84">
        <f>E4*75</f>
        <v>0</v>
      </c>
      <c r="G4" s="76"/>
      <c r="H4" s="84">
        <f>G4*150</f>
        <v>0</v>
      </c>
      <c r="I4" s="76"/>
      <c r="J4" s="84">
        <f>I4*150</f>
        <v>0</v>
      </c>
      <c r="K4" s="84">
        <f>F4+H4+J4</f>
        <v>0</v>
      </c>
      <c r="L4" s="85"/>
    </row>
    <row r="5" spans="2:12" ht="19.8">
      <c r="B5" s="1" t="s">
        <v>10</v>
      </c>
      <c r="C5" s="2">
        <v>1050</v>
      </c>
      <c r="D5" s="4" t="s">
        <v>12</v>
      </c>
      <c r="E5" s="40"/>
      <c r="F5" s="40">
        <f>E5*75</f>
        <v>0</v>
      </c>
      <c r="G5" s="40"/>
      <c r="H5" s="40">
        <f t="shared" ref="H5:H9" si="0">G5*150</f>
        <v>0</v>
      </c>
      <c r="I5" s="40"/>
      <c r="J5" s="40">
        <f t="shared" ref="J5:J9" si="1">I5*150</f>
        <v>0</v>
      </c>
      <c r="K5" s="40">
        <f t="shared" ref="K5:K9" si="2">F5+H5+J5</f>
        <v>0</v>
      </c>
      <c r="L5" s="41"/>
    </row>
    <row r="6" spans="2:12" ht="19.8">
      <c r="B6" s="3" t="s">
        <v>11</v>
      </c>
      <c r="C6" s="2" t="s">
        <v>13</v>
      </c>
      <c r="D6" s="4" t="s">
        <v>14</v>
      </c>
      <c r="E6" s="40"/>
      <c r="F6" s="40">
        <f t="shared" ref="F6:F9" si="3">E6*75</f>
        <v>0</v>
      </c>
      <c r="G6" s="40"/>
      <c r="H6" s="40">
        <f t="shared" si="0"/>
        <v>0</v>
      </c>
      <c r="I6" s="40"/>
      <c r="J6" s="40">
        <f t="shared" si="1"/>
        <v>0</v>
      </c>
      <c r="K6" s="40">
        <f t="shared" si="2"/>
        <v>0</v>
      </c>
      <c r="L6" s="41"/>
    </row>
    <row r="7" spans="2:12" ht="19.8">
      <c r="B7" s="3" t="s">
        <v>11</v>
      </c>
      <c r="C7" s="2">
        <v>1060</v>
      </c>
      <c r="D7" s="4" t="s">
        <v>15</v>
      </c>
      <c r="E7" s="40"/>
      <c r="F7" s="40">
        <f t="shared" si="3"/>
        <v>0</v>
      </c>
      <c r="G7" s="40"/>
      <c r="H7" s="40">
        <f t="shared" si="0"/>
        <v>0</v>
      </c>
      <c r="I7" s="40"/>
      <c r="J7" s="40">
        <f t="shared" si="1"/>
        <v>0</v>
      </c>
      <c r="K7" s="40">
        <f t="shared" si="2"/>
        <v>0</v>
      </c>
      <c r="L7" s="41"/>
    </row>
    <row r="8" spans="2:12" ht="19.8">
      <c r="B8" s="1" t="s">
        <v>16</v>
      </c>
      <c r="C8" s="2">
        <v>1003</v>
      </c>
      <c r="D8" s="4" t="s">
        <v>17</v>
      </c>
      <c r="E8" s="40"/>
      <c r="F8" s="40">
        <f t="shared" si="3"/>
        <v>0</v>
      </c>
      <c r="G8" s="40"/>
      <c r="H8" s="40">
        <f t="shared" si="0"/>
        <v>0</v>
      </c>
      <c r="I8" s="40"/>
      <c r="J8" s="40">
        <f t="shared" si="1"/>
        <v>0</v>
      </c>
      <c r="K8" s="40">
        <f t="shared" si="2"/>
        <v>0</v>
      </c>
      <c r="L8" s="41"/>
    </row>
    <row r="9" spans="2:12" ht="19.8">
      <c r="B9" s="3" t="s">
        <v>11</v>
      </c>
      <c r="C9" s="2" t="s">
        <v>18</v>
      </c>
      <c r="D9" s="4" t="s">
        <v>19</v>
      </c>
      <c r="E9" s="40"/>
      <c r="F9" s="40">
        <f t="shared" si="3"/>
        <v>0</v>
      </c>
      <c r="G9" s="40"/>
      <c r="H9" s="40">
        <f t="shared" si="0"/>
        <v>0</v>
      </c>
      <c r="I9" s="40"/>
      <c r="J9" s="40">
        <f t="shared" si="1"/>
        <v>0</v>
      </c>
      <c r="K9" s="40">
        <f t="shared" si="2"/>
        <v>0</v>
      </c>
      <c r="L9" s="41"/>
    </row>
    <row r="10" spans="2:12" ht="19.8">
      <c r="B10" s="3"/>
      <c r="C10" s="42"/>
      <c r="D10" s="4"/>
      <c r="E10" s="40"/>
      <c r="F10" s="40"/>
      <c r="G10" s="40"/>
      <c r="H10" s="40"/>
      <c r="I10" s="40"/>
      <c r="J10" s="40"/>
      <c r="K10" s="40"/>
      <c r="L10" s="41"/>
    </row>
    <row r="11" spans="2:12" ht="19.8">
      <c r="B11" s="3"/>
      <c r="C11" s="42"/>
      <c r="D11" s="4"/>
      <c r="E11" s="40"/>
      <c r="F11" s="40"/>
      <c r="G11" s="40"/>
      <c r="H11" s="40"/>
      <c r="I11" s="40"/>
      <c r="J11" s="40"/>
      <c r="K11" s="40"/>
      <c r="L11" s="41"/>
    </row>
    <row r="12" spans="2:12" ht="19.8">
      <c r="B12" s="1" t="s">
        <v>20</v>
      </c>
      <c r="C12" s="2">
        <v>1046</v>
      </c>
      <c r="D12" s="4" t="s">
        <v>21</v>
      </c>
      <c r="E12" s="40"/>
      <c r="F12" s="40">
        <f>E12*75</f>
        <v>0</v>
      </c>
      <c r="G12" s="40"/>
      <c r="H12" s="40">
        <f t="shared" ref="H12:H24" si="4">G12*150</f>
        <v>0</v>
      </c>
      <c r="I12" s="40"/>
      <c r="J12" s="40">
        <f t="shared" ref="J12:J24" si="5">I12*150</f>
        <v>0</v>
      </c>
      <c r="K12" s="40">
        <f t="shared" ref="K12:K24" si="6">F12+H12+J12</f>
        <v>0</v>
      </c>
      <c r="L12" s="41"/>
    </row>
    <row r="13" spans="2:12" ht="19.8">
      <c r="B13" s="3" t="s">
        <v>11</v>
      </c>
      <c r="C13" s="2">
        <v>1014</v>
      </c>
      <c r="D13" s="4" t="s">
        <v>22</v>
      </c>
      <c r="E13" s="40"/>
      <c r="F13" s="40">
        <f t="shared" ref="F13:F17" si="7">E13*75</f>
        <v>0</v>
      </c>
      <c r="G13" s="40"/>
      <c r="H13" s="40">
        <f t="shared" si="4"/>
        <v>0</v>
      </c>
      <c r="I13" s="40"/>
      <c r="J13" s="40">
        <f t="shared" si="5"/>
        <v>0</v>
      </c>
      <c r="K13" s="40">
        <f t="shared" si="6"/>
        <v>0</v>
      </c>
      <c r="L13" s="41"/>
    </row>
    <row r="14" spans="2:12" ht="19.8">
      <c r="B14" s="3" t="s">
        <v>11</v>
      </c>
      <c r="C14" s="2">
        <v>1015</v>
      </c>
      <c r="D14" s="4" t="s">
        <v>23</v>
      </c>
      <c r="E14" s="40"/>
      <c r="F14" s="40">
        <f t="shared" si="7"/>
        <v>0</v>
      </c>
      <c r="G14" s="40"/>
      <c r="H14" s="40">
        <f t="shared" si="4"/>
        <v>0</v>
      </c>
      <c r="I14" s="40"/>
      <c r="J14" s="40">
        <f t="shared" si="5"/>
        <v>0</v>
      </c>
      <c r="K14" s="40">
        <f t="shared" si="6"/>
        <v>0</v>
      </c>
      <c r="L14" s="41"/>
    </row>
    <row r="15" spans="2:12" ht="19.8">
      <c r="B15" s="3" t="s">
        <v>11</v>
      </c>
      <c r="C15" s="5" t="s">
        <v>24</v>
      </c>
      <c r="D15" s="4" t="s">
        <v>25</v>
      </c>
      <c r="E15" s="40"/>
      <c r="F15" s="40">
        <f t="shared" si="7"/>
        <v>0</v>
      </c>
      <c r="G15" s="40"/>
      <c r="H15" s="40">
        <f t="shared" si="4"/>
        <v>0</v>
      </c>
      <c r="I15" s="40"/>
      <c r="J15" s="40">
        <f t="shared" si="5"/>
        <v>0</v>
      </c>
      <c r="K15" s="40">
        <f t="shared" si="6"/>
        <v>0</v>
      </c>
      <c r="L15" s="41"/>
    </row>
    <row r="16" spans="2:12" ht="19.8">
      <c r="B16" s="3" t="s">
        <v>11</v>
      </c>
      <c r="C16" s="2" t="s">
        <v>26</v>
      </c>
      <c r="D16" s="4" t="s">
        <v>27</v>
      </c>
      <c r="E16" s="40"/>
      <c r="F16" s="40">
        <f t="shared" si="7"/>
        <v>0</v>
      </c>
      <c r="G16" s="40"/>
      <c r="H16" s="40">
        <f t="shared" si="4"/>
        <v>0</v>
      </c>
      <c r="I16" s="40"/>
      <c r="J16" s="40">
        <f t="shared" si="5"/>
        <v>0</v>
      </c>
      <c r="K16" s="40">
        <f t="shared" si="6"/>
        <v>0</v>
      </c>
      <c r="L16" s="41"/>
    </row>
    <row r="17" spans="2:12" ht="19.8">
      <c r="B17" s="3" t="s">
        <v>11</v>
      </c>
      <c r="C17" s="2">
        <v>1059</v>
      </c>
      <c r="D17" s="4" t="s">
        <v>28</v>
      </c>
      <c r="E17" s="40"/>
      <c r="F17" s="40">
        <f t="shared" si="7"/>
        <v>0</v>
      </c>
      <c r="G17" s="40"/>
      <c r="H17" s="40">
        <f t="shared" si="4"/>
        <v>0</v>
      </c>
      <c r="I17" s="40"/>
      <c r="J17" s="40">
        <f t="shared" si="5"/>
        <v>0</v>
      </c>
      <c r="K17" s="40">
        <f t="shared" si="6"/>
        <v>0</v>
      </c>
      <c r="L17" s="41"/>
    </row>
    <row r="18" spans="2:12" ht="18">
      <c r="B18" s="3"/>
      <c r="C18" s="50"/>
      <c r="D18" s="50"/>
      <c r="E18" s="40"/>
      <c r="F18" s="40"/>
      <c r="G18" s="40"/>
      <c r="H18" s="40"/>
      <c r="I18" s="40"/>
      <c r="J18" s="40"/>
      <c r="K18" s="40"/>
      <c r="L18" s="41"/>
    </row>
    <row r="19" spans="2:12" ht="19.8">
      <c r="B19" s="1" t="s">
        <v>29</v>
      </c>
      <c r="C19" s="2">
        <v>1004</v>
      </c>
      <c r="D19" s="4" t="s">
        <v>30</v>
      </c>
      <c r="E19" s="40"/>
      <c r="F19" s="40">
        <f>E19*75</f>
        <v>0</v>
      </c>
      <c r="G19" s="40"/>
      <c r="H19" s="40">
        <f t="shared" si="4"/>
        <v>0</v>
      </c>
      <c r="I19" s="40"/>
      <c r="J19" s="40">
        <f t="shared" si="5"/>
        <v>0</v>
      </c>
      <c r="K19" s="40">
        <f t="shared" si="6"/>
        <v>0</v>
      </c>
      <c r="L19" s="41"/>
    </row>
    <row r="20" spans="2:12" ht="19.8">
      <c r="B20" s="3" t="s">
        <v>11</v>
      </c>
      <c r="C20" s="2">
        <v>1008</v>
      </c>
      <c r="D20" s="4" t="s">
        <v>195</v>
      </c>
      <c r="E20" s="40"/>
      <c r="F20" s="40">
        <f t="shared" ref="F20:F24" si="8">E20*75</f>
        <v>0</v>
      </c>
      <c r="G20" s="40"/>
      <c r="H20" s="40">
        <f t="shared" si="4"/>
        <v>0</v>
      </c>
      <c r="I20" s="40"/>
      <c r="J20" s="40">
        <f t="shared" si="5"/>
        <v>0</v>
      </c>
      <c r="K20" s="40">
        <f t="shared" si="6"/>
        <v>0</v>
      </c>
      <c r="L20" s="41"/>
    </row>
    <row r="21" spans="2:12" ht="19.8">
      <c r="B21" s="3" t="s">
        <v>11</v>
      </c>
      <c r="C21" s="2">
        <v>2040</v>
      </c>
      <c r="D21" s="4" t="s">
        <v>32</v>
      </c>
      <c r="E21" s="40"/>
      <c r="F21" s="40">
        <f t="shared" si="8"/>
        <v>0</v>
      </c>
      <c r="G21" s="40"/>
      <c r="H21" s="40">
        <f t="shared" si="4"/>
        <v>0</v>
      </c>
      <c r="I21" s="40"/>
      <c r="J21" s="40">
        <f t="shared" si="5"/>
        <v>0</v>
      </c>
      <c r="K21" s="40">
        <f t="shared" si="6"/>
        <v>0</v>
      </c>
      <c r="L21" s="41"/>
    </row>
    <row r="22" spans="2:12" ht="19.8">
      <c r="B22" s="3" t="s">
        <v>11</v>
      </c>
      <c r="C22" s="2">
        <v>1041</v>
      </c>
      <c r="D22" s="4" t="s">
        <v>33</v>
      </c>
      <c r="E22" s="40"/>
      <c r="F22" s="40">
        <f t="shared" si="8"/>
        <v>0</v>
      </c>
      <c r="G22" s="40"/>
      <c r="H22" s="40">
        <f t="shared" si="4"/>
        <v>0</v>
      </c>
      <c r="I22" s="40"/>
      <c r="J22" s="40">
        <f t="shared" si="5"/>
        <v>0</v>
      </c>
      <c r="K22" s="40">
        <f t="shared" si="6"/>
        <v>0</v>
      </c>
      <c r="L22" s="41"/>
    </row>
    <row r="23" spans="2:12" ht="19.8">
      <c r="B23" s="3" t="s">
        <v>11</v>
      </c>
      <c r="C23" s="2">
        <v>1069</v>
      </c>
      <c r="D23" s="4" t="s">
        <v>34</v>
      </c>
      <c r="E23" s="40"/>
      <c r="F23" s="40">
        <f t="shared" si="8"/>
        <v>0</v>
      </c>
      <c r="G23" s="40"/>
      <c r="H23" s="40">
        <f t="shared" si="4"/>
        <v>0</v>
      </c>
      <c r="I23" s="40"/>
      <c r="J23" s="40">
        <f t="shared" si="5"/>
        <v>0</v>
      </c>
      <c r="K23" s="40">
        <f t="shared" si="6"/>
        <v>0</v>
      </c>
      <c r="L23" s="41"/>
    </row>
    <row r="24" spans="2:12" ht="19.8">
      <c r="B24" s="3" t="s">
        <v>11</v>
      </c>
      <c r="C24" s="2" t="s">
        <v>35</v>
      </c>
      <c r="D24" s="4" t="s">
        <v>36</v>
      </c>
      <c r="E24" s="40"/>
      <c r="F24" s="40">
        <f t="shared" si="8"/>
        <v>0</v>
      </c>
      <c r="G24" s="40"/>
      <c r="H24" s="40">
        <f t="shared" si="4"/>
        <v>0</v>
      </c>
      <c r="I24" s="40"/>
      <c r="J24" s="40">
        <f t="shared" si="5"/>
        <v>0</v>
      </c>
      <c r="K24" s="40">
        <f t="shared" si="6"/>
        <v>0</v>
      </c>
      <c r="L24" s="41"/>
    </row>
    <row r="25" spans="2:12" ht="19.8">
      <c r="B25" s="3"/>
      <c r="C25" s="42"/>
      <c r="D25" s="4"/>
      <c r="E25" s="40"/>
      <c r="F25" s="40"/>
      <c r="G25" s="40"/>
      <c r="H25" s="40"/>
      <c r="I25" s="40"/>
      <c r="J25" s="40"/>
      <c r="K25" s="40"/>
      <c r="L25" s="41"/>
    </row>
    <row r="26" spans="2:12" ht="19.8">
      <c r="B26" s="1"/>
      <c r="C26" s="42"/>
      <c r="D26" s="4"/>
      <c r="E26" s="40"/>
      <c r="F26" s="40"/>
      <c r="G26" s="40"/>
      <c r="H26" s="40"/>
      <c r="I26" s="40"/>
      <c r="J26" s="40"/>
      <c r="K26" s="40"/>
      <c r="L26" s="41"/>
    </row>
    <row r="27" spans="2:12" ht="19.8">
      <c r="B27" s="1" t="s">
        <v>37</v>
      </c>
      <c r="C27" s="2">
        <v>2015</v>
      </c>
      <c r="D27" s="4" t="s">
        <v>38</v>
      </c>
      <c r="E27" s="40"/>
      <c r="F27" s="40">
        <f>E27*75</f>
        <v>0</v>
      </c>
      <c r="G27" s="40"/>
      <c r="H27" s="40">
        <f t="shared" ref="H27:H46" si="9">G27*150</f>
        <v>0</v>
      </c>
      <c r="I27" s="40"/>
      <c r="J27" s="40">
        <f t="shared" ref="J27:J46" si="10">I27*150</f>
        <v>0</v>
      </c>
      <c r="K27" s="40">
        <f t="shared" ref="K27:K46" si="11">F27+H27+J27</f>
        <v>0</v>
      </c>
      <c r="L27" s="41"/>
    </row>
    <row r="28" spans="2:12" ht="19.8">
      <c r="B28" s="3" t="s">
        <v>11</v>
      </c>
      <c r="C28" s="2">
        <v>2043</v>
      </c>
      <c r="D28" s="4" t="s">
        <v>39</v>
      </c>
      <c r="E28" s="40"/>
      <c r="F28" s="40">
        <f t="shared" ref="F28:F43" si="12">E28*75</f>
        <v>0</v>
      </c>
      <c r="G28" s="40"/>
      <c r="H28" s="40">
        <f t="shared" si="9"/>
        <v>0</v>
      </c>
      <c r="I28" s="40"/>
      <c r="J28" s="40">
        <f t="shared" si="10"/>
        <v>0</v>
      </c>
      <c r="K28" s="40">
        <f t="shared" si="11"/>
        <v>0</v>
      </c>
      <c r="L28" s="41"/>
    </row>
    <row r="29" spans="2:12" ht="19.8">
      <c r="B29" s="1" t="s">
        <v>40</v>
      </c>
      <c r="C29" s="2">
        <v>2013</v>
      </c>
      <c r="D29" s="4" t="s">
        <v>41</v>
      </c>
      <c r="E29" s="40"/>
      <c r="F29" s="40">
        <f t="shared" si="12"/>
        <v>0</v>
      </c>
      <c r="G29" s="40"/>
      <c r="H29" s="40">
        <f t="shared" si="9"/>
        <v>0</v>
      </c>
      <c r="I29" s="40"/>
      <c r="J29" s="40">
        <f t="shared" si="10"/>
        <v>0</v>
      </c>
      <c r="K29" s="40">
        <f t="shared" si="11"/>
        <v>0</v>
      </c>
      <c r="L29" s="41"/>
    </row>
    <row r="30" spans="2:12" ht="19.8">
      <c r="B30" s="3" t="s">
        <v>11</v>
      </c>
      <c r="C30" s="2">
        <v>2014</v>
      </c>
      <c r="D30" s="4" t="s">
        <v>42</v>
      </c>
      <c r="E30" s="40"/>
      <c r="F30" s="40">
        <f t="shared" si="12"/>
        <v>0</v>
      </c>
      <c r="G30" s="40"/>
      <c r="H30" s="40">
        <f t="shared" si="9"/>
        <v>0</v>
      </c>
      <c r="I30" s="40"/>
      <c r="J30" s="40">
        <f t="shared" si="10"/>
        <v>0</v>
      </c>
      <c r="K30" s="40">
        <f t="shared" si="11"/>
        <v>0</v>
      </c>
      <c r="L30" s="41"/>
    </row>
    <row r="31" spans="2:12" ht="19.8">
      <c r="B31" s="3" t="s">
        <v>11</v>
      </c>
      <c r="C31" s="2">
        <v>2045</v>
      </c>
      <c r="D31" s="4" t="s">
        <v>43</v>
      </c>
      <c r="E31" s="40"/>
      <c r="F31" s="40">
        <f t="shared" si="12"/>
        <v>0</v>
      </c>
      <c r="G31" s="40"/>
      <c r="H31" s="40">
        <f t="shared" si="9"/>
        <v>0</v>
      </c>
      <c r="I31" s="40"/>
      <c r="J31" s="40">
        <f t="shared" si="10"/>
        <v>0</v>
      </c>
      <c r="K31" s="40">
        <f t="shared" si="11"/>
        <v>0</v>
      </c>
      <c r="L31" s="41"/>
    </row>
    <row r="32" spans="2:12" ht="19.8">
      <c r="B32" s="7" t="s">
        <v>44</v>
      </c>
      <c r="C32" s="2">
        <v>2020</v>
      </c>
      <c r="D32" s="4" t="s">
        <v>45</v>
      </c>
      <c r="E32" s="40"/>
      <c r="F32" s="40">
        <f t="shared" si="12"/>
        <v>0</v>
      </c>
      <c r="G32" s="40"/>
      <c r="H32" s="40">
        <f t="shared" si="9"/>
        <v>0</v>
      </c>
      <c r="I32" s="40"/>
      <c r="J32" s="40">
        <f t="shared" si="10"/>
        <v>0</v>
      </c>
      <c r="K32" s="40">
        <f t="shared" si="11"/>
        <v>0</v>
      </c>
      <c r="L32" s="41"/>
    </row>
    <row r="33" spans="2:12" ht="19.8">
      <c r="B33" s="8" t="s">
        <v>46</v>
      </c>
      <c r="C33" s="9">
        <v>2005</v>
      </c>
      <c r="D33" s="4" t="s">
        <v>47</v>
      </c>
      <c r="E33" s="40"/>
      <c r="F33" s="40">
        <f t="shared" si="12"/>
        <v>0</v>
      </c>
      <c r="G33" s="40"/>
      <c r="H33" s="40">
        <f t="shared" si="9"/>
        <v>0</v>
      </c>
      <c r="I33" s="40"/>
      <c r="J33" s="40">
        <f t="shared" si="10"/>
        <v>0</v>
      </c>
      <c r="K33" s="40">
        <f t="shared" si="11"/>
        <v>0</v>
      </c>
      <c r="L33" s="41"/>
    </row>
    <row r="34" spans="2:12" ht="19.8">
      <c r="B34" s="10" t="s">
        <v>11</v>
      </c>
      <c r="C34" s="9">
        <v>2002</v>
      </c>
      <c r="D34" s="4" t="s">
        <v>48</v>
      </c>
      <c r="E34" s="40"/>
      <c r="F34" s="40">
        <f t="shared" si="12"/>
        <v>0</v>
      </c>
      <c r="G34" s="40"/>
      <c r="H34" s="40">
        <f t="shared" si="9"/>
        <v>0</v>
      </c>
      <c r="I34" s="40"/>
      <c r="J34" s="40">
        <f t="shared" si="10"/>
        <v>0</v>
      </c>
      <c r="K34" s="40">
        <f t="shared" si="11"/>
        <v>0</v>
      </c>
      <c r="L34" s="41"/>
    </row>
    <row r="35" spans="2:12" ht="19.8">
      <c r="B35" s="10" t="s">
        <v>11</v>
      </c>
      <c r="C35" s="9">
        <v>2048</v>
      </c>
      <c r="D35" s="4" t="s">
        <v>194</v>
      </c>
      <c r="E35" s="40"/>
      <c r="F35" s="40">
        <f t="shared" si="12"/>
        <v>0</v>
      </c>
      <c r="G35" s="40"/>
      <c r="H35" s="40">
        <f t="shared" si="9"/>
        <v>0</v>
      </c>
      <c r="I35" s="40"/>
      <c r="J35" s="40">
        <f t="shared" ref="J35" si="13">I35*150</f>
        <v>0</v>
      </c>
      <c r="K35" s="40">
        <f t="shared" ref="K35" si="14">F35+H35+J35</f>
        <v>0</v>
      </c>
      <c r="L35" s="41"/>
    </row>
    <row r="36" spans="2:12" ht="19.8">
      <c r="B36" s="7" t="s">
        <v>49</v>
      </c>
      <c r="C36" s="9">
        <v>2008</v>
      </c>
      <c r="D36" s="4" t="s">
        <v>50</v>
      </c>
      <c r="E36" s="40"/>
      <c r="F36" s="40">
        <f t="shared" si="12"/>
        <v>0</v>
      </c>
      <c r="G36" s="40"/>
      <c r="H36" s="40">
        <f t="shared" si="9"/>
        <v>0</v>
      </c>
      <c r="I36" s="40"/>
      <c r="J36" s="40">
        <f t="shared" si="10"/>
        <v>0</v>
      </c>
      <c r="K36" s="40">
        <f t="shared" si="11"/>
        <v>0</v>
      </c>
      <c r="L36" s="41"/>
    </row>
    <row r="37" spans="2:12" ht="19.8">
      <c r="B37" s="10" t="s">
        <v>11</v>
      </c>
      <c r="C37" s="9">
        <v>2011</v>
      </c>
      <c r="D37" s="4" t="s">
        <v>51</v>
      </c>
      <c r="E37" s="40"/>
      <c r="F37" s="40">
        <f t="shared" si="12"/>
        <v>0</v>
      </c>
      <c r="G37" s="40"/>
      <c r="H37" s="40">
        <f t="shared" si="9"/>
        <v>0</v>
      </c>
      <c r="I37" s="40"/>
      <c r="J37" s="40">
        <f t="shared" si="10"/>
        <v>0</v>
      </c>
      <c r="K37" s="40">
        <f t="shared" si="11"/>
        <v>0</v>
      </c>
      <c r="L37" s="41"/>
    </row>
    <row r="38" spans="2:12" ht="19.8">
      <c r="B38" s="10" t="s">
        <v>11</v>
      </c>
      <c r="C38" s="11" t="s">
        <v>52</v>
      </c>
      <c r="D38" s="4" t="s">
        <v>53</v>
      </c>
      <c r="E38" s="40"/>
      <c r="F38" s="40">
        <f t="shared" si="12"/>
        <v>0</v>
      </c>
      <c r="G38" s="40"/>
      <c r="H38" s="40">
        <f t="shared" si="9"/>
        <v>0</v>
      </c>
      <c r="I38" s="40"/>
      <c r="J38" s="40">
        <f t="shared" si="10"/>
        <v>0</v>
      </c>
      <c r="K38" s="40">
        <f t="shared" si="11"/>
        <v>0</v>
      </c>
      <c r="L38" s="41"/>
    </row>
    <row r="39" spans="2:12" ht="19.8">
      <c r="B39" s="10" t="s">
        <v>11</v>
      </c>
      <c r="C39" s="11">
        <v>2042</v>
      </c>
      <c r="D39" s="4" t="s">
        <v>54</v>
      </c>
      <c r="E39" s="40"/>
      <c r="F39" s="40">
        <f t="shared" si="12"/>
        <v>0</v>
      </c>
      <c r="G39" s="40"/>
      <c r="H39" s="40">
        <f t="shared" si="9"/>
        <v>0</v>
      </c>
      <c r="I39" s="40"/>
      <c r="J39" s="40">
        <f t="shared" si="10"/>
        <v>0</v>
      </c>
      <c r="K39" s="40">
        <f t="shared" si="11"/>
        <v>0</v>
      </c>
      <c r="L39" s="41"/>
    </row>
    <row r="40" spans="2:12" ht="19.8">
      <c r="B40" s="7" t="s">
        <v>55</v>
      </c>
      <c r="C40" s="11">
        <v>2039</v>
      </c>
      <c r="D40" s="4" t="s">
        <v>56</v>
      </c>
      <c r="E40" s="40"/>
      <c r="F40" s="40">
        <f t="shared" si="12"/>
        <v>0</v>
      </c>
      <c r="G40" s="40"/>
      <c r="H40" s="40">
        <f t="shared" si="9"/>
        <v>0</v>
      </c>
      <c r="I40" s="40"/>
      <c r="J40" s="40">
        <f t="shared" si="10"/>
        <v>0</v>
      </c>
      <c r="K40" s="40">
        <f t="shared" si="11"/>
        <v>0</v>
      </c>
      <c r="L40" s="41"/>
    </row>
    <row r="41" spans="2:12" ht="19.8">
      <c r="B41" s="10" t="s">
        <v>11</v>
      </c>
      <c r="C41" s="11">
        <v>2031</v>
      </c>
      <c r="D41" s="4" t="s">
        <v>57</v>
      </c>
      <c r="E41" s="40"/>
      <c r="F41" s="40">
        <f t="shared" si="12"/>
        <v>0</v>
      </c>
      <c r="G41" s="40"/>
      <c r="H41" s="40">
        <f t="shared" si="9"/>
        <v>0</v>
      </c>
      <c r="I41" s="40"/>
      <c r="J41" s="40">
        <f t="shared" si="10"/>
        <v>0</v>
      </c>
      <c r="K41" s="40">
        <f t="shared" si="11"/>
        <v>0</v>
      </c>
      <c r="L41" s="41"/>
    </row>
    <row r="42" spans="2:12" ht="19.8">
      <c r="B42" s="10" t="s">
        <v>11</v>
      </c>
      <c r="C42" s="11">
        <v>2047</v>
      </c>
      <c r="D42" s="12" t="s">
        <v>58</v>
      </c>
      <c r="E42" s="40"/>
      <c r="F42" s="40">
        <f t="shared" si="12"/>
        <v>0</v>
      </c>
      <c r="G42" s="40"/>
      <c r="H42" s="40">
        <f t="shared" si="9"/>
        <v>0</v>
      </c>
      <c r="I42" s="40"/>
      <c r="J42" s="40">
        <f t="shared" si="10"/>
        <v>0</v>
      </c>
      <c r="K42" s="40">
        <f t="shared" si="11"/>
        <v>0</v>
      </c>
      <c r="L42" s="41"/>
    </row>
    <row r="43" spans="2:12" ht="19.8">
      <c r="B43" s="77" t="s">
        <v>11</v>
      </c>
      <c r="C43" s="78">
        <v>2018</v>
      </c>
      <c r="D43" s="79" t="s">
        <v>59</v>
      </c>
      <c r="E43" s="80"/>
      <c r="F43" s="40">
        <f t="shared" si="12"/>
        <v>0</v>
      </c>
      <c r="G43" s="80"/>
      <c r="H43" s="40">
        <f t="shared" si="9"/>
        <v>0</v>
      </c>
      <c r="I43" s="80"/>
      <c r="J43" s="40">
        <f t="shared" si="10"/>
        <v>0</v>
      </c>
      <c r="K43" s="40">
        <f t="shared" si="11"/>
        <v>0</v>
      </c>
      <c r="L43" s="59"/>
    </row>
    <row r="44" spans="2:12" ht="22.2">
      <c r="B44" s="114" t="s">
        <v>172</v>
      </c>
      <c r="C44" s="115"/>
      <c r="D44" s="115"/>
      <c r="E44" s="115"/>
      <c r="F44" s="115"/>
      <c r="G44" s="115"/>
      <c r="H44" s="115"/>
      <c r="I44" s="115"/>
      <c r="J44" s="115"/>
      <c r="K44" s="115"/>
      <c r="L44" s="116"/>
    </row>
    <row r="45" spans="2:12" ht="19.8">
      <c r="B45" s="81" t="s">
        <v>29</v>
      </c>
      <c r="C45" s="82" t="s">
        <v>60</v>
      </c>
      <c r="D45" s="83" t="s">
        <v>61</v>
      </c>
      <c r="E45" s="40"/>
      <c r="F45" s="40">
        <f>E45*75</f>
        <v>0</v>
      </c>
      <c r="G45" s="40"/>
      <c r="H45" s="40">
        <f t="shared" si="9"/>
        <v>0</v>
      </c>
      <c r="I45" s="40"/>
      <c r="J45" s="40">
        <f t="shared" si="10"/>
        <v>0</v>
      </c>
      <c r="K45" s="40">
        <f t="shared" si="11"/>
        <v>0</v>
      </c>
      <c r="L45" s="41"/>
    </row>
    <row r="46" spans="2:12" ht="20.399999999999999" thickBot="1">
      <c r="B46" s="32" t="s">
        <v>62</v>
      </c>
      <c r="C46" s="33" t="s">
        <v>63</v>
      </c>
      <c r="D46" s="29" t="s">
        <v>64</v>
      </c>
      <c r="E46" s="48"/>
      <c r="F46" s="48">
        <f>E46*75</f>
        <v>0</v>
      </c>
      <c r="G46" s="48"/>
      <c r="H46" s="48">
        <f t="shared" si="9"/>
        <v>0</v>
      </c>
      <c r="I46" s="48"/>
      <c r="J46" s="48">
        <f t="shared" si="10"/>
        <v>0</v>
      </c>
      <c r="K46" s="48">
        <f t="shared" si="11"/>
        <v>0</v>
      </c>
      <c r="L46" s="49"/>
    </row>
    <row r="47" spans="2:12" ht="16.8" thickTop="1"/>
  </sheetData>
  <mergeCells count="3">
    <mergeCell ref="B1:L1"/>
    <mergeCell ref="K2:L2"/>
    <mergeCell ref="B44:L44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7C3A2-8FDF-4F25-A01A-26F083C919FE}">
  <dimension ref="B1:W18"/>
  <sheetViews>
    <sheetView topLeftCell="B1" workbookViewId="0">
      <selection activeCell="N5" sqref="N5"/>
    </sheetView>
  </sheetViews>
  <sheetFormatPr defaultRowHeight="16.2"/>
  <cols>
    <col min="1" max="1" width="1.44140625" customWidth="1"/>
  </cols>
  <sheetData>
    <row r="1" spans="2:23" ht="32.4" thickBot="1">
      <c r="B1" s="110" t="s">
        <v>7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2"/>
      <c r="R1" s="97"/>
      <c r="S1" s="97"/>
      <c r="T1" s="97"/>
      <c r="U1" s="97"/>
      <c r="V1" s="55"/>
      <c r="W1" s="55"/>
    </row>
    <row r="2" spans="2:23" ht="20.399999999999999" thickBot="1">
      <c r="P2" s="121" t="s">
        <v>198</v>
      </c>
      <c r="Q2" s="121"/>
      <c r="T2" s="120"/>
      <c r="U2" s="120"/>
      <c r="V2" s="120"/>
      <c r="W2" s="120"/>
    </row>
    <row r="3" spans="2:23" ht="53.25" customHeight="1" thickTop="1" thickBot="1">
      <c r="B3" s="35" t="s">
        <v>0</v>
      </c>
      <c r="C3" s="36" t="s">
        <v>1</v>
      </c>
      <c r="D3" s="36" t="s">
        <v>2</v>
      </c>
      <c r="E3" s="66" t="s">
        <v>192</v>
      </c>
      <c r="F3" s="67" t="s">
        <v>181</v>
      </c>
      <c r="G3" s="68" t="s">
        <v>179</v>
      </c>
      <c r="H3" s="69" t="s">
        <v>182</v>
      </c>
      <c r="I3" s="70" t="s">
        <v>183</v>
      </c>
      <c r="J3" s="71" t="s">
        <v>184</v>
      </c>
      <c r="K3" s="72" t="s">
        <v>180</v>
      </c>
      <c r="L3" s="73" t="s">
        <v>185</v>
      </c>
      <c r="M3" s="74"/>
      <c r="N3" s="74" t="s">
        <v>81</v>
      </c>
      <c r="O3" s="75" t="s">
        <v>6</v>
      </c>
    </row>
    <row r="4" spans="2:23" ht="20.399999999999999" thickTop="1">
      <c r="B4" s="109" t="s">
        <v>65</v>
      </c>
      <c r="C4" s="51">
        <v>7021</v>
      </c>
      <c r="D4" s="23" t="s">
        <v>66</v>
      </c>
      <c r="E4" s="4">
        <v>9</v>
      </c>
      <c r="F4" s="4">
        <f>E4*100</f>
        <v>900</v>
      </c>
      <c r="G4" s="4">
        <v>0</v>
      </c>
      <c r="H4" s="45">
        <f>G4*125</f>
        <v>0</v>
      </c>
      <c r="I4" s="45">
        <v>0</v>
      </c>
      <c r="J4" s="45">
        <f>I4*150</f>
        <v>0</v>
      </c>
      <c r="K4" s="45">
        <v>0</v>
      </c>
      <c r="L4" s="45">
        <f>K4*150</f>
        <v>0</v>
      </c>
      <c r="M4" s="45">
        <v>300</v>
      </c>
      <c r="N4" s="45">
        <f>F4+H4+J4+L4+M4</f>
        <v>1200</v>
      </c>
      <c r="O4" s="45"/>
    </row>
    <row r="5" spans="2:23" ht="19.8">
      <c r="B5" s="10" t="s">
        <v>11</v>
      </c>
      <c r="C5" s="15">
        <v>7034</v>
      </c>
      <c r="D5" s="16" t="s">
        <v>67</v>
      </c>
      <c r="E5" s="4">
        <v>9</v>
      </c>
      <c r="F5" s="4">
        <f t="shared" ref="F5:F17" si="0">E5*100</f>
        <v>900</v>
      </c>
      <c r="G5" s="4">
        <v>0</v>
      </c>
      <c r="H5" s="45">
        <f t="shared" ref="H5:H17" si="1">G5*125</f>
        <v>0</v>
      </c>
      <c r="I5" s="45">
        <v>0</v>
      </c>
      <c r="J5" s="45">
        <f t="shared" ref="J5:J17" si="2">I5*150</f>
        <v>0</v>
      </c>
      <c r="K5" s="40">
        <v>0</v>
      </c>
      <c r="L5" s="45">
        <f t="shared" ref="L5:L17" si="3">K5*150</f>
        <v>0</v>
      </c>
      <c r="M5" s="45">
        <v>300</v>
      </c>
      <c r="N5" s="45">
        <f t="shared" ref="N5:N17" si="4">F5+H5+J5+L5+M5</f>
        <v>1200</v>
      </c>
      <c r="O5" s="40"/>
    </row>
    <row r="6" spans="2:23" ht="19.8">
      <c r="B6" s="10" t="s">
        <v>11</v>
      </c>
      <c r="C6" s="15">
        <v>7017</v>
      </c>
      <c r="D6" s="16" t="s">
        <v>68</v>
      </c>
      <c r="E6" s="4">
        <v>9</v>
      </c>
      <c r="F6" s="4">
        <f t="shared" si="0"/>
        <v>900</v>
      </c>
      <c r="G6" s="4">
        <v>0</v>
      </c>
      <c r="H6" s="45">
        <f t="shared" si="1"/>
        <v>0</v>
      </c>
      <c r="I6" s="45">
        <v>0</v>
      </c>
      <c r="J6" s="45">
        <f t="shared" si="2"/>
        <v>0</v>
      </c>
      <c r="K6" s="40">
        <v>0</v>
      </c>
      <c r="L6" s="45">
        <f t="shared" si="3"/>
        <v>0</v>
      </c>
      <c r="M6" s="45">
        <v>300</v>
      </c>
      <c r="N6" s="45">
        <f t="shared" si="4"/>
        <v>1200</v>
      </c>
      <c r="O6" s="40"/>
    </row>
    <row r="7" spans="2:23" ht="19.8">
      <c r="B7" s="17" t="s">
        <v>11</v>
      </c>
      <c r="C7" s="15">
        <v>7019</v>
      </c>
      <c r="D7" s="4" t="s">
        <v>69</v>
      </c>
      <c r="E7" s="4">
        <v>9</v>
      </c>
      <c r="F7" s="4">
        <f t="shared" si="0"/>
        <v>900</v>
      </c>
      <c r="G7" s="4">
        <v>0</v>
      </c>
      <c r="H7" s="45">
        <f t="shared" si="1"/>
        <v>0</v>
      </c>
      <c r="I7" s="45">
        <v>0</v>
      </c>
      <c r="J7" s="45">
        <f t="shared" si="2"/>
        <v>0</v>
      </c>
      <c r="K7" s="40">
        <v>0</v>
      </c>
      <c r="L7" s="45">
        <f t="shared" si="3"/>
        <v>0</v>
      </c>
      <c r="M7" s="45">
        <v>300</v>
      </c>
      <c r="N7" s="45">
        <f t="shared" si="4"/>
        <v>1200</v>
      </c>
      <c r="O7" s="40"/>
    </row>
    <row r="8" spans="2:23" ht="19.8">
      <c r="B8" s="17" t="s">
        <v>11</v>
      </c>
      <c r="C8" s="15">
        <v>7036</v>
      </c>
      <c r="D8" s="4" t="s">
        <v>70</v>
      </c>
      <c r="E8" s="4">
        <v>6</v>
      </c>
      <c r="F8" s="4">
        <f t="shared" si="0"/>
        <v>600</v>
      </c>
      <c r="G8" s="4">
        <v>1</v>
      </c>
      <c r="H8" s="45">
        <f t="shared" si="1"/>
        <v>125</v>
      </c>
      <c r="I8" s="40">
        <v>2</v>
      </c>
      <c r="J8" s="45">
        <f t="shared" si="2"/>
        <v>300</v>
      </c>
      <c r="K8" s="40">
        <v>0</v>
      </c>
      <c r="L8" s="45">
        <f t="shared" si="3"/>
        <v>0</v>
      </c>
      <c r="M8" s="45">
        <v>300</v>
      </c>
      <c r="N8" s="45">
        <f t="shared" si="4"/>
        <v>1325</v>
      </c>
      <c r="O8" s="40"/>
    </row>
    <row r="9" spans="2:23" ht="19.8">
      <c r="B9" s="17" t="s">
        <v>11</v>
      </c>
      <c r="C9" s="15" t="s">
        <v>71</v>
      </c>
      <c r="D9" s="18" t="s">
        <v>72</v>
      </c>
      <c r="E9" s="4">
        <v>9</v>
      </c>
      <c r="F9" s="4">
        <f t="shared" si="0"/>
        <v>900</v>
      </c>
      <c r="G9" s="4">
        <v>0</v>
      </c>
      <c r="H9" s="45">
        <f t="shared" si="1"/>
        <v>0</v>
      </c>
      <c r="I9" s="40">
        <v>0</v>
      </c>
      <c r="J9" s="45">
        <f t="shared" si="2"/>
        <v>0</v>
      </c>
      <c r="K9" s="40">
        <v>0</v>
      </c>
      <c r="L9" s="45">
        <f t="shared" si="3"/>
        <v>0</v>
      </c>
      <c r="M9" s="45">
        <v>300</v>
      </c>
      <c r="N9" s="45">
        <f t="shared" si="4"/>
        <v>1200</v>
      </c>
      <c r="O9" s="40"/>
    </row>
    <row r="10" spans="2:23" ht="19.8">
      <c r="B10" s="17" t="s">
        <v>11</v>
      </c>
      <c r="C10" s="15" t="s">
        <v>73</v>
      </c>
      <c r="D10" s="18" t="s">
        <v>74</v>
      </c>
      <c r="E10" s="4">
        <v>9</v>
      </c>
      <c r="F10" s="4">
        <f t="shared" si="0"/>
        <v>900</v>
      </c>
      <c r="G10" s="4">
        <v>0</v>
      </c>
      <c r="H10" s="45">
        <f t="shared" si="1"/>
        <v>0</v>
      </c>
      <c r="I10" s="40">
        <v>0</v>
      </c>
      <c r="J10" s="45">
        <f t="shared" si="2"/>
        <v>0</v>
      </c>
      <c r="K10" s="40">
        <v>0</v>
      </c>
      <c r="L10" s="45">
        <f t="shared" si="3"/>
        <v>0</v>
      </c>
      <c r="M10" s="45">
        <v>300</v>
      </c>
      <c r="N10" s="45">
        <f t="shared" si="4"/>
        <v>1200</v>
      </c>
      <c r="O10" s="40"/>
    </row>
    <row r="11" spans="2:23" ht="19.8">
      <c r="B11" s="10" t="s">
        <v>11</v>
      </c>
      <c r="C11" s="15">
        <v>7006</v>
      </c>
      <c r="D11" s="16" t="s">
        <v>75</v>
      </c>
      <c r="E11" s="4">
        <v>11</v>
      </c>
      <c r="F11" s="4">
        <f t="shared" si="0"/>
        <v>1100</v>
      </c>
      <c r="G11" s="4">
        <v>1</v>
      </c>
      <c r="H11" s="45">
        <f t="shared" si="1"/>
        <v>125</v>
      </c>
      <c r="I11" s="40">
        <v>0</v>
      </c>
      <c r="J11" s="45">
        <f t="shared" si="2"/>
        <v>0</v>
      </c>
      <c r="K11" s="40">
        <v>0</v>
      </c>
      <c r="L11" s="45">
        <f t="shared" si="3"/>
        <v>0</v>
      </c>
      <c r="M11" s="45">
        <v>300</v>
      </c>
      <c r="N11" s="45">
        <f t="shared" si="4"/>
        <v>1525</v>
      </c>
      <c r="O11" s="40"/>
    </row>
    <row r="12" spans="2:23" ht="19.8">
      <c r="B12" s="10" t="s">
        <v>11</v>
      </c>
      <c r="C12" s="15">
        <v>7016</v>
      </c>
      <c r="D12" s="16" t="s">
        <v>76</v>
      </c>
      <c r="E12" s="4">
        <v>8</v>
      </c>
      <c r="F12" s="4">
        <f t="shared" si="0"/>
        <v>800</v>
      </c>
      <c r="G12" s="4">
        <v>1</v>
      </c>
      <c r="H12" s="45">
        <f t="shared" si="1"/>
        <v>125</v>
      </c>
      <c r="I12" s="40">
        <v>0</v>
      </c>
      <c r="J12" s="45">
        <f t="shared" si="2"/>
        <v>0</v>
      </c>
      <c r="K12" s="40">
        <v>0</v>
      </c>
      <c r="L12" s="45">
        <f t="shared" si="3"/>
        <v>0</v>
      </c>
      <c r="M12" s="45">
        <v>300</v>
      </c>
      <c r="N12" s="45">
        <f t="shared" si="4"/>
        <v>1225</v>
      </c>
      <c r="O12" s="40"/>
    </row>
    <row r="13" spans="2:23" ht="19.8">
      <c r="B13" s="17" t="s">
        <v>11</v>
      </c>
      <c r="C13" s="15">
        <v>7012</v>
      </c>
      <c r="D13" s="16" t="s">
        <v>77</v>
      </c>
      <c r="E13" s="4">
        <v>9</v>
      </c>
      <c r="F13" s="4">
        <f t="shared" si="0"/>
        <v>900</v>
      </c>
      <c r="G13" s="4">
        <v>0</v>
      </c>
      <c r="H13" s="45">
        <f t="shared" si="1"/>
        <v>0</v>
      </c>
      <c r="I13" s="40">
        <v>0</v>
      </c>
      <c r="J13" s="45">
        <f t="shared" si="2"/>
        <v>0</v>
      </c>
      <c r="K13" s="40">
        <v>0</v>
      </c>
      <c r="L13" s="45">
        <f t="shared" si="3"/>
        <v>0</v>
      </c>
      <c r="M13" s="45">
        <v>300</v>
      </c>
      <c r="N13" s="45">
        <f t="shared" si="4"/>
        <v>1200</v>
      </c>
      <c r="O13" s="40"/>
    </row>
    <row r="14" spans="2:23" ht="19.8">
      <c r="B14" s="17" t="s">
        <v>11</v>
      </c>
      <c r="C14" s="15">
        <v>7022</v>
      </c>
      <c r="D14" s="4" t="s">
        <v>78</v>
      </c>
      <c r="E14" s="4">
        <v>10</v>
      </c>
      <c r="F14" s="4">
        <f t="shared" si="0"/>
        <v>1000</v>
      </c>
      <c r="G14" s="4">
        <v>0</v>
      </c>
      <c r="H14" s="45">
        <f t="shared" si="1"/>
        <v>0</v>
      </c>
      <c r="I14" s="40">
        <v>0</v>
      </c>
      <c r="J14" s="45">
        <f t="shared" si="2"/>
        <v>0</v>
      </c>
      <c r="K14" s="40">
        <v>0</v>
      </c>
      <c r="L14" s="45">
        <f t="shared" si="3"/>
        <v>0</v>
      </c>
      <c r="M14" s="45">
        <v>300</v>
      </c>
      <c r="N14" s="45">
        <f t="shared" si="4"/>
        <v>1300</v>
      </c>
      <c r="O14" s="40"/>
    </row>
    <row r="15" spans="2:23" ht="19.8">
      <c r="B15" s="17" t="s">
        <v>11</v>
      </c>
      <c r="C15" s="15">
        <v>7027</v>
      </c>
      <c r="D15" s="12" t="s">
        <v>79</v>
      </c>
      <c r="E15" s="4">
        <v>9</v>
      </c>
      <c r="F15" s="4">
        <f t="shared" si="0"/>
        <v>900</v>
      </c>
      <c r="G15" s="4">
        <v>0</v>
      </c>
      <c r="H15" s="45">
        <f t="shared" si="1"/>
        <v>0</v>
      </c>
      <c r="I15" s="40">
        <v>0</v>
      </c>
      <c r="J15" s="45">
        <f t="shared" si="2"/>
        <v>0</v>
      </c>
      <c r="K15" s="40">
        <v>0</v>
      </c>
      <c r="L15" s="45">
        <f t="shared" si="3"/>
        <v>0</v>
      </c>
      <c r="M15" s="45">
        <v>300</v>
      </c>
      <c r="N15" s="45">
        <f t="shared" si="4"/>
        <v>1200</v>
      </c>
      <c r="O15" s="40"/>
    </row>
    <row r="16" spans="2:23" ht="19.8">
      <c r="B16" s="17" t="s">
        <v>11</v>
      </c>
      <c r="C16" s="15">
        <v>7041</v>
      </c>
      <c r="D16" s="12" t="s">
        <v>80</v>
      </c>
      <c r="E16" s="4">
        <v>9</v>
      </c>
      <c r="F16" s="4">
        <f t="shared" ref="F16" si="5">E16*100</f>
        <v>900</v>
      </c>
      <c r="G16" s="4">
        <v>0</v>
      </c>
      <c r="H16" s="40">
        <f t="shared" ref="H16" si="6">G16*125</f>
        <v>0</v>
      </c>
      <c r="I16" s="40">
        <v>0</v>
      </c>
      <c r="J16" s="40">
        <f t="shared" ref="J16" si="7">I16*150</f>
        <v>0</v>
      </c>
      <c r="K16" s="40">
        <v>0</v>
      </c>
      <c r="L16" s="40">
        <f t="shared" ref="L16" si="8">K16*150</f>
        <v>0</v>
      </c>
      <c r="M16" s="40">
        <v>300</v>
      </c>
      <c r="N16" s="40">
        <f t="shared" ref="N16" si="9">F16+H16+J16+L16+M16</f>
        <v>1200</v>
      </c>
      <c r="O16" s="40"/>
    </row>
    <row r="17" spans="2:15" ht="20.399999999999999" thickBot="1">
      <c r="B17" s="104" t="s">
        <v>11</v>
      </c>
      <c r="C17" s="105">
        <v>7050</v>
      </c>
      <c r="D17" s="106" t="s">
        <v>201</v>
      </c>
      <c r="E17" s="107">
        <v>0</v>
      </c>
      <c r="F17" s="107">
        <f t="shared" si="0"/>
        <v>0</v>
      </c>
      <c r="G17" s="107">
        <v>0</v>
      </c>
      <c r="H17" s="108">
        <f t="shared" si="1"/>
        <v>0</v>
      </c>
      <c r="I17" s="108">
        <v>0</v>
      </c>
      <c r="J17" s="108">
        <f t="shared" si="2"/>
        <v>0</v>
      </c>
      <c r="K17" s="108">
        <v>0</v>
      </c>
      <c r="L17" s="108">
        <f t="shared" si="3"/>
        <v>0</v>
      </c>
      <c r="M17" s="108">
        <v>40</v>
      </c>
      <c r="N17" s="108">
        <f t="shared" si="4"/>
        <v>40</v>
      </c>
      <c r="O17" s="108"/>
    </row>
    <row r="18" spans="2:15" ht="16.8" thickTop="1"/>
  </sheetData>
  <mergeCells count="4">
    <mergeCell ref="P2:Q2"/>
    <mergeCell ref="V2:W2"/>
    <mergeCell ref="T2:U2"/>
    <mergeCell ref="B1:Q1"/>
  </mergeCells>
  <phoneticPr fontId="3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D014-861E-41F0-8BB5-999CDA63CAA9}">
  <dimension ref="B1:Q33"/>
  <sheetViews>
    <sheetView workbookViewId="0">
      <selection activeCell="F11" sqref="F11"/>
    </sheetView>
  </sheetViews>
  <sheetFormatPr defaultRowHeight="16.2"/>
  <cols>
    <col min="1" max="1" width="1.21875" customWidth="1"/>
    <col min="2" max="8" width="12" customWidth="1"/>
  </cols>
  <sheetData>
    <row r="1" spans="2:17" ht="32.4" thickBot="1">
      <c r="B1" s="110" t="s">
        <v>7</v>
      </c>
      <c r="C1" s="111"/>
      <c r="D1" s="111"/>
      <c r="E1" s="111"/>
      <c r="F1" s="111"/>
      <c r="G1" s="111"/>
      <c r="H1" s="112"/>
      <c r="I1" s="55"/>
      <c r="J1" s="55"/>
      <c r="K1" s="55"/>
      <c r="L1" s="55"/>
      <c r="M1" s="55"/>
      <c r="N1" s="55"/>
      <c r="O1" s="55"/>
      <c r="P1" s="55"/>
      <c r="Q1" s="55"/>
    </row>
    <row r="2" spans="2:17" ht="20.399999999999999" thickBot="1">
      <c r="G2" s="120" t="s">
        <v>198</v>
      </c>
      <c r="H2" s="120"/>
      <c r="K2" s="122"/>
      <c r="L2" s="122"/>
      <c r="P2" s="120"/>
      <c r="Q2" s="120"/>
    </row>
    <row r="3" spans="2:17" ht="45.6" thickTop="1" thickBot="1">
      <c r="B3" s="35" t="s">
        <v>0</v>
      </c>
      <c r="C3" s="36" t="s">
        <v>1</v>
      </c>
      <c r="D3" s="36" t="s">
        <v>2</v>
      </c>
      <c r="E3" s="36" t="s">
        <v>3</v>
      </c>
      <c r="F3" s="36" t="s">
        <v>4</v>
      </c>
      <c r="G3" s="37" t="s">
        <v>5</v>
      </c>
      <c r="H3" s="38" t="s">
        <v>6</v>
      </c>
    </row>
    <row r="4" spans="2:17" ht="20.399999999999999" thickTop="1">
      <c r="B4" s="19" t="s">
        <v>82</v>
      </c>
      <c r="C4" s="6" t="s">
        <v>83</v>
      </c>
      <c r="D4" s="20" t="s">
        <v>84</v>
      </c>
      <c r="E4" s="44">
        <f>1800/30*G4</f>
        <v>1800</v>
      </c>
      <c r="F4" s="44">
        <f>E4+300</f>
        <v>2100</v>
      </c>
      <c r="G4" s="45">
        <v>30</v>
      </c>
      <c r="H4" s="46"/>
    </row>
    <row r="5" spans="2:17" ht="19.8">
      <c r="B5" s="1"/>
      <c r="C5" s="2" t="s">
        <v>85</v>
      </c>
      <c r="D5" s="16" t="s">
        <v>86</v>
      </c>
      <c r="E5" s="39">
        <f t="shared" ref="E5:E27" si="0">1800/30*G5</f>
        <v>1800</v>
      </c>
      <c r="F5" s="39">
        <f t="shared" ref="F5:F28" si="1">E5+300</f>
        <v>2100</v>
      </c>
      <c r="G5" s="45">
        <v>30</v>
      </c>
      <c r="H5" s="41"/>
    </row>
    <row r="6" spans="2:17" ht="19.8">
      <c r="B6" s="3"/>
      <c r="C6" s="21" t="s">
        <v>87</v>
      </c>
      <c r="D6" s="16" t="s">
        <v>88</v>
      </c>
      <c r="E6" s="39">
        <f t="shared" si="0"/>
        <v>1800</v>
      </c>
      <c r="F6" s="39">
        <f t="shared" si="1"/>
        <v>2100</v>
      </c>
      <c r="G6" s="45">
        <v>30</v>
      </c>
      <c r="H6" s="41"/>
    </row>
    <row r="7" spans="2:17" ht="19.8">
      <c r="B7" s="3"/>
      <c r="C7" s="2" t="s">
        <v>89</v>
      </c>
      <c r="D7" s="16" t="s">
        <v>90</v>
      </c>
      <c r="E7" s="39">
        <f t="shared" si="0"/>
        <v>540</v>
      </c>
      <c r="F7" s="39">
        <f t="shared" si="1"/>
        <v>840</v>
      </c>
      <c r="G7" s="45">
        <v>9</v>
      </c>
      <c r="H7" s="41"/>
    </row>
    <row r="8" spans="2:17" ht="19.8">
      <c r="B8" s="3"/>
      <c r="C8" s="2" t="s">
        <v>91</v>
      </c>
      <c r="D8" s="16" t="s">
        <v>92</v>
      </c>
      <c r="E8" s="39">
        <f t="shared" si="0"/>
        <v>1800</v>
      </c>
      <c r="F8" s="39">
        <f t="shared" si="1"/>
        <v>2100</v>
      </c>
      <c r="G8" s="45">
        <v>30</v>
      </c>
      <c r="H8" s="41"/>
    </row>
    <row r="9" spans="2:17" ht="19.8">
      <c r="B9" s="3"/>
      <c r="C9" s="2" t="s">
        <v>93</v>
      </c>
      <c r="D9" s="16" t="s">
        <v>94</v>
      </c>
      <c r="E9" s="39">
        <f t="shared" si="0"/>
        <v>1800</v>
      </c>
      <c r="F9" s="39">
        <f t="shared" si="1"/>
        <v>2100</v>
      </c>
      <c r="G9" s="45">
        <v>30</v>
      </c>
      <c r="H9" s="41"/>
    </row>
    <row r="10" spans="2:17" ht="19.8">
      <c r="B10" s="3"/>
      <c r="C10" s="2" t="s">
        <v>95</v>
      </c>
      <c r="D10" s="16" t="s">
        <v>96</v>
      </c>
      <c r="E10" s="39">
        <f t="shared" ref="E10" si="2">1800/30*G10</f>
        <v>1800</v>
      </c>
      <c r="F10" s="39">
        <f t="shared" si="1"/>
        <v>2100</v>
      </c>
      <c r="G10" s="45">
        <v>30</v>
      </c>
      <c r="H10" s="41"/>
    </row>
    <row r="11" spans="2:17" ht="19.8">
      <c r="B11" s="3" t="s">
        <v>97</v>
      </c>
      <c r="C11" s="2" t="s">
        <v>98</v>
      </c>
      <c r="D11" s="16" t="s">
        <v>99</v>
      </c>
      <c r="E11" s="39">
        <f t="shared" si="0"/>
        <v>1800</v>
      </c>
      <c r="F11" s="39">
        <f t="shared" si="1"/>
        <v>2100</v>
      </c>
      <c r="G11" s="45">
        <v>30</v>
      </c>
      <c r="H11" s="41"/>
    </row>
    <row r="12" spans="2:17" ht="19.8">
      <c r="B12" s="3"/>
      <c r="C12" s="2" t="s">
        <v>100</v>
      </c>
      <c r="D12" s="16" t="s">
        <v>101</v>
      </c>
      <c r="E12" s="39">
        <f t="shared" ref="E12:E13" si="3">1800/30*G12</f>
        <v>1800</v>
      </c>
      <c r="F12" s="39">
        <f t="shared" si="1"/>
        <v>2100</v>
      </c>
      <c r="G12" s="45">
        <v>30</v>
      </c>
      <c r="H12" s="41"/>
    </row>
    <row r="13" spans="2:17" ht="19.8">
      <c r="B13" s="3" t="s">
        <v>97</v>
      </c>
      <c r="C13" s="2" t="s">
        <v>102</v>
      </c>
      <c r="D13" s="22" t="s">
        <v>103</v>
      </c>
      <c r="E13" s="39">
        <f t="shared" si="3"/>
        <v>1800</v>
      </c>
      <c r="F13" s="39">
        <f t="shared" si="1"/>
        <v>2100</v>
      </c>
      <c r="G13" s="45">
        <v>30</v>
      </c>
      <c r="H13" s="41"/>
    </row>
    <row r="14" spans="2:17" ht="19.8">
      <c r="B14" s="3"/>
      <c r="C14" s="2" t="s">
        <v>104</v>
      </c>
      <c r="D14" s="16" t="s">
        <v>105</v>
      </c>
      <c r="E14" s="39">
        <f t="shared" si="0"/>
        <v>1800</v>
      </c>
      <c r="F14" s="39">
        <f t="shared" si="1"/>
        <v>2100</v>
      </c>
      <c r="G14" s="45">
        <v>30</v>
      </c>
      <c r="H14" s="41"/>
    </row>
    <row r="15" spans="2:17" ht="19.8">
      <c r="B15" s="1"/>
      <c r="C15" s="2" t="s">
        <v>106</v>
      </c>
      <c r="D15" s="16" t="s">
        <v>107</v>
      </c>
      <c r="E15" s="39">
        <f t="shared" si="0"/>
        <v>1800</v>
      </c>
      <c r="F15" s="39">
        <f t="shared" si="1"/>
        <v>2100</v>
      </c>
      <c r="G15" s="45">
        <v>30</v>
      </c>
      <c r="H15" s="41"/>
    </row>
    <row r="16" spans="2:17" ht="19.8">
      <c r="B16" s="3"/>
      <c r="C16" s="2" t="s">
        <v>108</v>
      </c>
      <c r="D16" s="4" t="s">
        <v>109</v>
      </c>
      <c r="E16" s="39">
        <f t="shared" si="0"/>
        <v>1800</v>
      </c>
      <c r="F16" s="39">
        <f t="shared" si="1"/>
        <v>2100</v>
      </c>
      <c r="G16" s="45">
        <v>30</v>
      </c>
      <c r="H16" s="41"/>
    </row>
    <row r="17" spans="2:8" ht="19.8">
      <c r="B17" s="3"/>
      <c r="C17" s="2" t="s">
        <v>110</v>
      </c>
      <c r="D17" s="4" t="s">
        <v>111</v>
      </c>
      <c r="E17" s="39">
        <f t="shared" si="0"/>
        <v>1800</v>
      </c>
      <c r="F17" s="39">
        <f t="shared" si="1"/>
        <v>2100</v>
      </c>
      <c r="G17" s="45">
        <v>30</v>
      </c>
      <c r="H17" s="41"/>
    </row>
    <row r="18" spans="2:8" ht="19.8">
      <c r="B18" s="3"/>
      <c r="C18" s="2" t="s">
        <v>112</v>
      </c>
      <c r="D18" s="4" t="s">
        <v>113</v>
      </c>
      <c r="E18" s="39">
        <f t="shared" si="0"/>
        <v>1800</v>
      </c>
      <c r="F18" s="39">
        <f t="shared" si="1"/>
        <v>2100</v>
      </c>
      <c r="G18" s="45">
        <v>30</v>
      </c>
      <c r="H18" s="41"/>
    </row>
    <row r="19" spans="2:8" ht="19.8">
      <c r="B19" s="3"/>
      <c r="C19" s="2" t="s">
        <v>114</v>
      </c>
      <c r="D19" s="4" t="s">
        <v>115</v>
      </c>
      <c r="E19" s="39">
        <f t="shared" si="0"/>
        <v>1800</v>
      </c>
      <c r="F19" s="39">
        <f t="shared" si="1"/>
        <v>2100</v>
      </c>
      <c r="G19" s="45">
        <v>30</v>
      </c>
      <c r="H19" s="41"/>
    </row>
    <row r="20" spans="2:8" ht="19.8">
      <c r="B20" s="3"/>
      <c r="C20" s="2" t="s">
        <v>196</v>
      </c>
      <c r="D20" s="4" t="s">
        <v>197</v>
      </c>
      <c r="E20" s="39">
        <f t="shared" si="0"/>
        <v>1800</v>
      </c>
      <c r="F20" s="39">
        <f t="shared" si="1"/>
        <v>2100</v>
      </c>
      <c r="G20" s="45">
        <v>30</v>
      </c>
      <c r="H20" s="41"/>
    </row>
    <row r="21" spans="2:8" ht="19.8">
      <c r="B21" s="3"/>
      <c r="C21" s="2" t="s">
        <v>116</v>
      </c>
      <c r="D21" s="16" t="s">
        <v>117</v>
      </c>
      <c r="E21" s="39">
        <f t="shared" ref="E21" si="4">1800/30*G21</f>
        <v>1800</v>
      </c>
      <c r="F21" s="39">
        <f t="shared" si="1"/>
        <v>2100</v>
      </c>
      <c r="G21" s="45">
        <v>30</v>
      </c>
      <c r="H21" s="41"/>
    </row>
    <row r="22" spans="2:8" ht="19.8">
      <c r="B22" s="3"/>
      <c r="C22" s="2" t="s">
        <v>118</v>
      </c>
      <c r="D22" s="16" t="s">
        <v>119</v>
      </c>
      <c r="E22" s="39">
        <f t="shared" si="0"/>
        <v>1800</v>
      </c>
      <c r="F22" s="39">
        <f t="shared" si="1"/>
        <v>2100</v>
      </c>
      <c r="G22" s="45">
        <v>30</v>
      </c>
      <c r="H22" s="41"/>
    </row>
    <row r="23" spans="2:8" ht="19.8">
      <c r="B23" s="3"/>
      <c r="C23" s="2" t="s">
        <v>120</v>
      </c>
      <c r="D23" s="16" t="s">
        <v>121</v>
      </c>
      <c r="E23" s="39">
        <f t="shared" si="0"/>
        <v>600</v>
      </c>
      <c r="F23" s="39">
        <f t="shared" si="1"/>
        <v>900</v>
      </c>
      <c r="G23" s="45">
        <v>10</v>
      </c>
      <c r="H23" s="41"/>
    </row>
    <row r="24" spans="2:8" ht="19.8">
      <c r="B24" s="3"/>
      <c r="C24" s="2" t="s">
        <v>122</v>
      </c>
      <c r="D24" s="16" t="s">
        <v>123</v>
      </c>
      <c r="E24" s="39">
        <f t="shared" si="0"/>
        <v>1800</v>
      </c>
      <c r="F24" s="39">
        <f t="shared" si="1"/>
        <v>2100</v>
      </c>
      <c r="G24" s="45">
        <v>30</v>
      </c>
      <c r="H24" s="41"/>
    </row>
    <row r="25" spans="2:8" ht="19.8">
      <c r="B25" s="3"/>
      <c r="C25" s="2" t="s">
        <v>124</v>
      </c>
      <c r="D25" s="4" t="s">
        <v>125</v>
      </c>
      <c r="E25" s="39">
        <f t="shared" si="0"/>
        <v>1800</v>
      </c>
      <c r="F25" s="39">
        <f t="shared" si="1"/>
        <v>2100</v>
      </c>
      <c r="G25" s="45">
        <v>30</v>
      </c>
      <c r="H25" s="41"/>
    </row>
    <row r="26" spans="2:8" ht="19.8">
      <c r="B26" s="3"/>
      <c r="C26" s="2" t="s">
        <v>126</v>
      </c>
      <c r="D26" s="4" t="s">
        <v>127</v>
      </c>
      <c r="E26" s="39">
        <f t="shared" si="0"/>
        <v>1800</v>
      </c>
      <c r="F26" s="39">
        <f t="shared" si="1"/>
        <v>2100</v>
      </c>
      <c r="G26" s="45">
        <v>30</v>
      </c>
      <c r="H26" s="41"/>
    </row>
    <row r="27" spans="2:8" ht="19.8">
      <c r="B27" s="3"/>
      <c r="C27" s="2" t="s">
        <v>128</v>
      </c>
      <c r="D27" s="16" t="s">
        <v>129</v>
      </c>
      <c r="E27" s="39">
        <f t="shared" si="0"/>
        <v>1800</v>
      </c>
      <c r="F27" s="39">
        <f t="shared" si="1"/>
        <v>2100</v>
      </c>
      <c r="G27" s="45">
        <v>30</v>
      </c>
      <c r="H27" s="41"/>
    </row>
    <row r="28" spans="2:8" ht="19.8">
      <c r="B28" s="3"/>
      <c r="C28" s="2" t="s">
        <v>130</v>
      </c>
      <c r="D28" s="16" t="s">
        <v>131</v>
      </c>
      <c r="E28" s="39">
        <f t="shared" ref="E28:E32" si="5">1800/30*G28</f>
        <v>1800</v>
      </c>
      <c r="F28" s="39">
        <f t="shared" si="1"/>
        <v>2100</v>
      </c>
      <c r="G28" s="45">
        <v>30</v>
      </c>
      <c r="H28" s="59"/>
    </row>
    <row r="29" spans="2:8" ht="19.8">
      <c r="B29" s="3"/>
      <c r="C29" s="2" t="s">
        <v>178</v>
      </c>
      <c r="D29" s="16" t="s">
        <v>193</v>
      </c>
      <c r="E29" s="39">
        <f t="shared" si="5"/>
        <v>1800</v>
      </c>
      <c r="F29" s="39">
        <f>E29+300</f>
        <v>2100</v>
      </c>
      <c r="G29" s="62">
        <v>30</v>
      </c>
      <c r="H29" s="59"/>
    </row>
    <row r="30" spans="2:8" ht="19.8">
      <c r="B30" s="3"/>
      <c r="C30" s="2" t="s">
        <v>132</v>
      </c>
      <c r="D30" s="16" t="s">
        <v>133</v>
      </c>
      <c r="E30" s="39">
        <f t="shared" si="5"/>
        <v>1800</v>
      </c>
      <c r="F30" s="39">
        <f>E30+300</f>
        <v>2100</v>
      </c>
      <c r="G30" s="58">
        <v>30</v>
      </c>
      <c r="H30" s="41"/>
    </row>
    <row r="31" spans="2:8" ht="19.8">
      <c r="B31" s="57"/>
      <c r="C31" s="6" t="s">
        <v>174</v>
      </c>
      <c r="D31" s="23" t="s">
        <v>175</v>
      </c>
      <c r="E31" s="44">
        <f t="shared" si="5"/>
        <v>1800</v>
      </c>
      <c r="F31" s="44">
        <f t="shared" ref="F31:F32" si="6">E31+300</f>
        <v>2100</v>
      </c>
      <c r="G31" s="45">
        <v>30</v>
      </c>
      <c r="H31" s="46"/>
    </row>
    <row r="32" spans="2:8" ht="20.399999999999999" thickBot="1">
      <c r="B32" s="24"/>
      <c r="C32" s="25" t="s">
        <v>176</v>
      </c>
      <c r="D32" s="26" t="s">
        <v>177</v>
      </c>
      <c r="E32" s="47">
        <f t="shared" si="5"/>
        <v>1800</v>
      </c>
      <c r="F32" s="47">
        <f t="shared" si="6"/>
        <v>2100</v>
      </c>
      <c r="G32" s="48">
        <v>30</v>
      </c>
      <c r="H32" s="49"/>
    </row>
    <row r="33" ht="16.8" thickTop="1"/>
  </sheetData>
  <mergeCells count="4">
    <mergeCell ref="K2:L2"/>
    <mergeCell ref="P2:Q2"/>
    <mergeCell ref="B1:H1"/>
    <mergeCell ref="G2:H2"/>
  </mergeCells>
  <phoneticPr fontId="3" type="noConversion"/>
  <conditionalFormatting sqref="G4:G32">
    <cfRule type="cellIs" dxfId="0" priority="1" operator="lessThan">
      <formula>30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5830-CAC6-48D2-8E43-04F449F64C7F}">
  <dimension ref="B1:N33"/>
  <sheetViews>
    <sheetView tabSelected="1" workbookViewId="0">
      <selection activeCell="J10" sqref="J10"/>
    </sheetView>
  </sheetViews>
  <sheetFormatPr defaultRowHeight="16.2"/>
  <cols>
    <col min="1" max="1" width="1.21875" customWidth="1"/>
    <col min="2" max="4" width="12" customWidth="1"/>
    <col min="5" max="12" width="11" customWidth="1"/>
  </cols>
  <sheetData>
    <row r="1" spans="2:14" ht="32.4" thickBot="1">
      <c r="B1" s="110" t="s">
        <v>7</v>
      </c>
      <c r="C1" s="111"/>
      <c r="D1" s="111"/>
      <c r="E1" s="111"/>
      <c r="F1" s="111"/>
      <c r="G1" s="111"/>
      <c r="H1" s="111"/>
      <c r="I1" s="111"/>
      <c r="J1" s="111"/>
      <c r="K1" s="111"/>
      <c r="L1" s="112"/>
      <c r="M1" s="55"/>
      <c r="N1" s="55"/>
    </row>
    <row r="2" spans="2:14" ht="19.8">
      <c r="G2" s="120"/>
      <c r="H2" s="120"/>
      <c r="K2" s="123" t="s">
        <v>198</v>
      </c>
      <c r="L2" s="123"/>
      <c r="M2" s="120"/>
      <c r="N2" s="120"/>
    </row>
    <row r="3" spans="2:14" ht="68.400000000000006" customHeight="1" thickBot="1">
      <c r="B3" s="88" t="s">
        <v>0</v>
      </c>
      <c r="C3" s="89" t="s">
        <v>1</v>
      </c>
      <c r="D3" s="89" t="s">
        <v>2</v>
      </c>
      <c r="E3" s="90" t="s">
        <v>188</v>
      </c>
      <c r="F3" s="91" t="s">
        <v>200</v>
      </c>
      <c r="G3" s="92" t="s">
        <v>189</v>
      </c>
      <c r="H3" s="93" t="s">
        <v>184</v>
      </c>
      <c r="I3" s="94" t="s">
        <v>190</v>
      </c>
      <c r="J3" s="94" t="s">
        <v>185</v>
      </c>
      <c r="K3" s="95" t="s">
        <v>81</v>
      </c>
      <c r="L3" s="96" t="s">
        <v>6</v>
      </c>
    </row>
    <row r="4" spans="2:14" ht="20.399999999999999" thickTop="1">
      <c r="B4" s="19" t="s">
        <v>82</v>
      </c>
      <c r="C4" s="6" t="s">
        <v>83</v>
      </c>
      <c r="D4" s="20" t="s">
        <v>84</v>
      </c>
      <c r="E4" s="76"/>
      <c r="F4" s="76">
        <f>E4*75</f>
        <v>0</v>
      </c>
      <c r="G4" s="76"/>
      <c r="H4" s="76">
        <f>G4*150</f>
        <v>0</v>
      </c>
      <c r="I4" s="76"/>
      <c r="J4" s="76">
        <f>I4*150</f>
        <v>0</v>
      </c>
      <c r="K4" s="76">
        <f>F4+H4+J4</f>
        <v>0</v>
      </c>
      <c r="L4" s="85"/>
    </row>
    <row r="5" spans="2:14" ht="19.8">
      <c r="B5" s="1"/>
      <c r="C5" s="2" t="s">
        <v>85</v>
      </c>
      <c r="D5" s="16" t="s">
        <v>86</v>
      </c>
      <c r="E5" s="40"/>
      <c r="F5" s="40">
        <f>E5*75</f>
        <v>0</v>
      </c>
      <c r="G5" s="40"/>
      <c r="H5" s="40">
        <f t="shared" ref="H5:H32" si="0">G5*150</f>
        <v>0</v>
      </c>
      <c r="I5" s="40"/>
      <c r="J5" s="40">
        <f t="shared" ref="J5:J32" si="1">I5*150</f>
        <v>0</v>
      </c>
      <c r="K5" s="40">
        <f t="shared" ref="K5:K32" si="2">F5+H5+J5</f>
        <v>0</v>
      </c>
      <c r="L5" s="41"/>
    </row>
    <row r="6" spans="2:14" ht="19.8">
      <c r="B6" s="3"/>
      <c r="C6" s="21" t="s">
        <v>87</v>
      </c>
      <c r="D6" s="16" t="s">
        <v>88</v>
      </c>
      <c r="E6" s="40"/>
      <c r="F6" s="40">
        <f t="shared" ref="F6:F32" si="3">E6*75</f>
        <v>0</v>
      </c>
      <c r="G6" s="40"/>
      <c r="H6" s="40">
        <f t="shared" si="0"/>
        <v>0</v>
      </c>
      <c r="I6" s="40"/>
      <c r="J6" s="40">
        <f t="shared" si="1"/>
        <v>0</v>
      </c>
      <c r="K6" s="40">
        <f t="shared" si="2"/>
        <v>0</v>
      </c>
      <c r="L6" s="41"/>
    </row>
    <row r="7" spans="2:14" ht="19.8">
      <c r="B7" s="3"/>
      <c r="C7" s="2" t="s">
        <v>89</v>
      </c>
      <c r="D7" s="16" t="s">
        <v>90</v>
      </c>
      <c r="E7" s="40"/>
      <c r="F7" s="40">
        <f t="shared" si="3"/>
        <v>0</v>
      </c>
      <c r="G7" s="40"/>
      <c r="H7" s="40">
        <f t="shared" si="0"/>
        <v>0</v>
      </c>
      <c r="I7" s="40"/>
      <c r="J7" s="40">
        <f t="shared" si="1"/>
        <v>0</v>
      </c>
      <c r="K7" s="40">
        <f t="shared" si="2"/>
        <v>0</v>
      </c>
      <c r="L7" s="41"/>
    </row>
    <row r="8" spans="2:14" ht="19.8">
      <c r="B8" s="3"/>
      <c r="C8" s="2" t="s">
        <v>91</v>
      </c>
      <c r="D8" s="16" t="s">
        <v>92</v>
      </c>
      <c r="E8" s="40">
        <v>0</v>
      </c>
      <c r="F8" s="40">
        <f t="shared" si="3"/>
        <v>0</v>
      </c>
      <c r="G8" s="40">
        <v>0</v>
      </c>
      <c r="H8" s="40">
        <f t="shared" si="0"/>
        <v>0</v>
      </c>
      <c r="I8" s="40">
        <v>1</v>
      </c>
      <c r="J8" s="40">
        <f t="shared" si="1"/>
        <v>150</v>
      </c>
      <c r="K8" s="40">
        <f t="shared" si="2"/>
        <v>150</v>
      </c>
      <c r="L8" s="41"/>
    </row>
    <row r="9" spans="2:14" ht="19.8">
      <c r="B9" s="3"/>
      <c r="C9" s="2" t="s">
        <v>93</v>
      </c>
      <c r="D9" s="16" t="s">
        <v>94</v>
      </c>
      <c r="E9" s="40"/>
      <c r="F9" s="40">
        <f t="shared" si="3"/>
        <v>0</v>
      </c>
      <c r="G9" s="40"/>
      <c r="H9" s="40">
        <f t="shared" si="0"/>
        <v>0</v>
      </c>
      <c r="I9" s="40"/>
      <c r="J9" s="40">
        <f t="shared" si="1"/>
        <v>0</v>
      </c>
      <c r="K9" s="40">
        <f t="shared" si="2"/>
        <v>0</v>
      </c>
      <c r="L9" s="41"/>
    </row>
    <row r="10" spans="2:14" ht="19.8">
      <c r="B10" s="3"/>
      <c r="C10" s="2" t="s">
        <v>95</v>
      </c>
      <c r="D10" s="16" t="s">
        <v>202</v>
      </c>
      <c r="E10" s="40"/>
      <c r="F10" s="40">
        <f t="shared" si="3"/>
        <v>0</v>
      </c>
      <c r="G10" s="40"/>
      <c r="H10" s="40">
        <f t="shared" si="0"/>
        <v>0</v>
      </c>
      <c r="I10" s="40">
        <v>2</v>
      </c>
      <c r="J10" s="40">
        <f t="shared" si="1"/>
        <v>300</v>
      </c>
      <c r="K10" s="40">
        <f t="shared" si="2"/>
        <v>300</v>
      </c>
      <c r="L10" s="41"/>
    </row>
    <row r="11" spans="2:14" ht="19.8">
      <c r="B11" s="3" t="s">
        <v>97</v>
      </c>
      <c r="C11" s="2" t="s">
        <v>98</v>
      </c>
      <c r="D11" s="16" t="s">
        <v>99</v>
      </c>
      <c r="E11" s="40"/>
      <c r="F11" s="40">
        <f t="shared" si="3"/>
        <v>0</v>
      </c>
      <c r="G11" s="40"/>
      <c r="H11" s="40">
        <f t="shared" si="0"/>
        <v>0</v>
      </c>
      <c r="I11" s="40"/>
      <c r="J11" s="40">
        <f t="shared" si="1"/>
        <v>0</v>
      </c>
      <c r="K11" s="40">
        <f t="shared" si="2"/>
        <v>0</v>
      </c>
      <c r="L11" s="41"/>
    </row>
    <row r="12" spans="2:14" ht="19.8">
      <c r="B12" s="3"/>
      <c r="C12" s="2" t="s">
        <v>100</v>
      </c>
      <c r="D12" s="16" t="s">
        <v>101</v>
      </c>
      <c r="E12" s="40">
        <v>1</v>
      </c>
      <c r="F12" s="40">
        <f t="shared" si="3"/>
        <v>75</v>
      </c>
      <c r="G12" s="40">
        <v>0</v>
      </c>
      <c r="H12" s="40">
        <f t="shared" si="0"/>
        <v>0</v>
      </c>
      <c r="I12" s="40">
        <v>1</v>
      </c>
      <c r="J12" s="40">
        <f t="shared" si="1"/>
        <v>150</v>
      </c>
      <c r="K12" s="40">
        <f t="shared" si="2"/>
        <v>225</v>
      </c>
      <c r="L12" s="41"/>
    </row>
    <row r="13" spans="2:14" ht="19.8">
      <c r="B13" s="3" t="s">
        <v>97</v>
      </c>
      <c r="C13" s="2" t="s">
        <v>102</v>
      </c>
      <c r="D13" s="22" t="s">
        <v>103</v>
      </c>
      <c r="E13" s="40"/>
      <c r="F13" s="40">
        <f t="shared" si="3"/>
        <v>0</v>
      </c>
      <c r="G13" s="40"/>
      <c r="H13" s="40">
        <f t="shared" si="0"/>
        <v>0</v>
      </c>
      <c r="I13" s="40"/>
      <c r="J13" s="40">
        <f t="shared" si="1"/>
        <v>0</v>
      </c>
      <c r="K13" s="40">
        <f t="shared" si="2"/>
        <v>0</v>
      </c>
      <c r="L13" s="41"/>
    </row>
    <row r="14" spans="2:14" ht="19.8">
      <c r="B14" s="3"/>
      <c r="C14" s="2" t="s">
        <v>104</v>
      </c>
      <c r="D14" s="16" t="s">
        <v>105</v>
      </c>
      <c r="E14" s="40"/>
      <c r="F14" s="40">
        <f t="shared" si="3"/>
        <v>0</v>
      </c>
      <c r="G14" s="40"/>
      <c r="H14" s="40">
        <f t="shared" si="0"/>
        <v>0</v>
      </c>
      <c r="I14" s="40"/>
      <c r="J14" s="40">
        <f t="shared" si="1"/>
        <v>0</v>
      </c>
      <c r="K14" s="40">
        <f t="shared" si="2"/>
        <v>0</v>
      </c>
      <c r="L14" s="41"/>
    </row>
    <row r="15" spans="2:14" ht="19.8">
      <c r="B15" s="1"/>
      <c r="C15" s="2" t="s">
        <v>106</v>
      </c>
      <c r="D15" s="16" t="s">
        <v>107</v>
      </c>
      <c r="E15" s="40"/>
      <c r="F15" s="40">
        <f t="shared" si="3"/>
        <v>0</v>
      </c>
      <c r="G15" s="40"/>
      <c r="H15" s="40">
        <f t="shared" si="0"/>
        <v>0</v>
      </c>
      <c r="I15" s="40"/>
      <c r="J15" s="40">
        <f t="shared" si="1"/>
        <v>0</v>
      </c>
      <c r="K15" s="40">
        <f t="shared" si="2"/>
        <v>0</v>
      </c>
      <c r="L15" s="41"/>
    </row>
    <row r="16" spans="2:14" ht="19.8">
      <c r="B16" s="3"/>
      <c r="C16" s="2" t="s">
        <v>108</v>
      </c>
      <c r="D16" s="4" t="s">
        <v>109</v>
      </c>
      <c r="E16" s="40"/>
      <c r="F16" s="40">
        <f t="shared" si="3"/>
        <v>0</v>
      </c>
      <c r="G16" s="40"/>
      <c r="H16" s="40">
        <f t="shared" si="0"/>
        <v>0</v>
      </c>
      <c r="I16" s="40"/>
      <c r="J16" s="40">
        <f t="shared" si="1"/>
        <v>0</v>
      </c>
      <c r="K16" s="40">
        <f t="shared" si="2"/>
        <v>0</v>
      </c>
      <c r="L16" s="41"/>
    </row>
    <row r="17" spans="2:12" ht="19.8">
      <c r="B17" s="3"/>
      <c r="C17" s="2" t="s">
        <v>110</v>
      </c>
      <c r="D17" s="4" t="s">
        <v>111</v>
      </c>
      <c r="E17" s="40"/>
      <c r="F17" s="40">
        <f t="shared" si="3"/>
        <v>0</v>
      </c>
      <c r="G17" s="40"/>
      <c r="H17" s="40">
        <f t="shared" si="0"/>
        <v>0</v>
      </c>
      <c r="I17" s="40"/>
      <c r="J17" s="40">
        <f t="shared" si="1"/>
        <v>0</v>
      </c>
      <c r="K17" s="40">
        <f t="shared" si="2"/>
        <v>0</v>
      </c>
      <c r="L17" s="41"/>
    </row>
    <row r="18" spans="2:12" ht="19.8">
      <c r="B18" s="3"/>
      <c r="C18" s="2" t="s">
        <v>112</v>
      </c>
      <c r="D18" s="4" t="s">
        <v>113</v>
      </c>
      <c r="E18" s="40">
        <v>0</v>
      </c>
      <c r="F18" s="40">
        <f t="shared" si="3"/>
        <v>0</v>
      </c>
      <c r="G18" s="40">
        <v>0</v>
      </c>
      <c r="H18" s="40">
        <f t="shared" si="0"/>
        <v>0</v>
      </c>
      <c r="I18" s="40">
        <v>2</v>
      </c>
      <c r="J18" s="40">
        <f t="shared" si="1"/>
        <v>300</v>
      </c>
      <c r="K18" s="40">
        <f t="shared" si="2"/>
        <v>300</v>
      </c>
      <c r="L18" s="41"/>
    </row>
    <row r="19" spans="2:12" ht="19.8">
      <c r="B19" s="3"/>
      <c r="C19" s="2" t="s">
        <v>114</v>
      </c>
      <c r="D19" s="4" t="s">
        <v>115</v>
      </c>
      <c r="E19" s="40"/>
      <c r="F19" s="40">
        <f t="shared" si="3"/>
        <v>0</v>
      </c>
      <c r="G19" s="40"/>
      <c r="H19" s="40">
        <f t="shared" si="0"/>
        <v>0</v>
      </c>
      <c r="I19" s="40"/>
      <c r="J19" s="40">
        <f t="shared" si="1"/>
        <v>0</v>
      </c>
      <c r="K19" s="40">
        <f t="shared" si="2"/>
        <v>0</v>
      </c>
      <c r="L19" s="41"/>
    </row>
    <row r="20" spans="2:12" ht="19.8">
      <c r="B20" s="3"/>
      <c r="C20" s="2" t="s">
        <v>196</v>
      </c>
      <c r="D20" s="4" t="s">
        <v>197</v>
      </c>
      <c r="E20" s="40"/>
      <c r="F20" s="40">
        <f t="shared" si="3"/>
        <v>0</v>
      </c>
      <c r="G20" s="40"/>
      <c r="H20" s="40">
        <f t="shared" si="0"/>
        <v>0</v>
      </c>
      <c r="I20" s="40"/>
      <c r="J20" s="40">
        <f t="shared" si="1"/>
        <v>0</v>
      </c>
      <c r="K20" s="40">
        <f t="shared" si="2"/>
        <v>0</v>
      </c>
      <c r="L20" s="41"/>
    </row>
    <row r="21" spans="2:12" ht="19.8">
      <c r="B21" s="3"/>
      <c r="C21" s="2" t="s">
        <v>116</v>
      </c>
      <c r="D21" s="16" t="s">
        <v>117</v>
      </c>
      <c r="E21" s="40"/>
      <c r="F21" s="40">
        <f t="shared" si="3"/>
        <v>0</v>
      </c>
      <c r="G21" s="40"/>
      <c r="H21" s="40">
        <f t="shared" si="0"/>
        <v>0</v>
      </c>
      <c r="I21" s="40"/>
      <c r="J21" s="40">
        <f t="shared" si="1"/>
        <v>0</v>
      </c>
      <c r="K21" s="40">
        <f t="shared" si="2"/>
        <v>0</v>
      </c>
      <c r="L21" s="41"/>
    </row>
    <row r="22" spans="2:12" ht="19.8">
      <c r="B22" s="3"/>
      <c r="C22" s="2" t="s">
        <v>118</v>
      </c>
      <c r="D22" s="16" t="s">
        <v>119</v>
      </c>
      <c r="E22" s="40">
        <v>0</v>
      </c>
      <c r="F22" s="40">
        <f t="shared" si="3"/>
        <v>0</v>
      </c>
      <c r="G22" s="40">
        <v>1</v>
      </c>
      <c r="H22" s="40">
        <f t="shared" si="0"/>
        <v>150</v>
      </c>
      <c r="I22" s="40">
        <v>0</v>
      </c>
      <c r="J22" s="40">
        <f t="shared" si="1"/>
        <v>0</v>
      </c>
      <c r="K22" s="40">
        <f t="shared" si="2"/>
        <v>150</v>
      </c>
      <c r="L22" s="41"/>
    </row>
    <row r="23" spans="2:12" ht="19.8">
      <c r="B23" s="3"/>
      <c r="C23" s="2" t="s">
        <v>120</v>
      </c>
      <c r="D23" s="16" t="s">
        <v>121</v>
      </c>
      <c r="E23" s="40"/>
      <c r="F23" s="40">
        <f t="shared" si="3"/>
        <v>0</v>
      </c>
      <c r="G23" s="40"/>
      <c r="H23" s="40">
        <f t="shared" si="0"/>
        <v>0</v>
      </c>
      <c r="I23" s="40"/>
      <c r="J23" s="40">
        <f t="shared" si="1"/>
        <v>0</v>
      </c>
      <c r="K23" s="40">
        <f t="shared" si="2"/>
        <v>0</v>
      </c>
      <c r="L23" s="41"/>
    </row>
    <row r="24" spans="2:12" ht="19.8">
      <c r="B24" s="3"/>
      <c r="C24" s="2" t="s">
        <v>122</v>
      </c>
      <c r="D24" s="16" t="s">
        <v>123</v>
      </c>
      <c r="E24" s="40"/>
      <c r="F24" s="40">
        <f t="shared" si="3"/>
        <v>0</v>
      </c>
      <c r="G24" s="40"/>
      <c r="H24" s="40">
        <f t="shared" si="0"/>
        <v>0</v>
      </c>
      <c r="I24" s="40"/>
      <c r="J24" s="40">
        <f t="shared" si="1"/>
        <v>0</v>
      </c>
      <c r="K24" s="40">
        <f t="shared" si="2"/>
        <v>0</v>
      </c>
      <c r="L24" s="41"/>
    </row>
    <row r="25" spans="2:12" ht="19.8">
      <c r="B25" s="3"/>
      <c r="C25" s="2" t="s">
        <v>124</v>
      </c>
      <c r="D25" s="4" t="s">
        <v>125</v>
      </c>
      <c r="E25" s="40"/>
      <c r="F25" s="40">
        <f t="shared" si="3"/>
        <v>0</v>
      </c>
      <c r="G25" s="40"/>
      <c r="H25" s="40">
        <f t="shared" si="0"/>
        <v>0</v>
      </c>
      <c r="I25" s="40"/>
      <c r="J25" s="40">
        <f t="shared" si="1"/>
        <v>0</v>
      </c>
      <c r="K25" s="40">
        <f t="shared" si="2"/>
        <v>0</v>
      </c>
      <c r="L25" s="41"/>
    </row>
    <row r="26" spans="2:12" ht="19.8">
      <c r="B26" s="3"/>
      <c r="C26" s="2" t="s">
        <v>126</v>
      </c>
      <c r="D26" s="4" t="s">
        <v>127</v>
      </c>
      <c r="E26" s="40"/>
      <c r="F26" s="40">
        <f t="shared" si="3"/>
        <v>0</v>
      </c>
      <c r="G26" s="40"/>
      <c r="H26" s="40">
        <f t="shared" si="0"/>
        <v>0</v>
      </c>
      <c r="I26" s="40"/>
      <c r="J26" s="40">
        <f t="shared" si="1"/>
        <v>0</v>
      </c>
      <c r="K26" s="40">
        <f t="shared" si="2"/>
        <v>0</v>
      </c>
      <c r="L26" s="41"/>
    </row>
    <row r="27" spans="2:12" ht="19.8">
      <c r="B27" s="3"/>
      <c r="C27" s="2" t="s">
        <v>128</v>
      </c>
      <c r="D27" s="16" t="s">
        <v>129</v>
      </c>
      <c r="E27" s="40"/>
      <c r="F27" s="40">
        <f t="shared" si="3"/>
        <v>0</v>
      </c>
      <c r="G27" s="40"/>
      <c r="H27" s="40">
        <f t="shared" si="0"/>
        <v>0</v>
      </c>
      <c r="I27" s="40"/>
      <c r="J27" s="40">
        <f t="shared" si="1"/>
        <v>0</v>
      </c>
      <c r="K27" s="40">
        <f t="shared" si="2"/>
        <v>0</v>
      </c>
      <c r="L27" s="41"/>
    </row>
    <row r="28" spans="2:12" ht="19.8">
      <c r="B28" s="3"/>
      <c r="C28" s="2" t="s">
        <v>130</v>
      </c>
      <c r="D28" s="16" t="s">
        <v>131</v>
      </c>
      <c r="E28" s="40"/>
      <c r="F28" s="40">
        <f t="shared" si="3"/>
        <v>0</v>
      </c>
      <c r="G28" s="40"/>
      <c r="H28" s="40">
        <f t="shared" si="0"/>
        <v>0</v>
      </c>
      <c r="I28" s="40"/>
      <c r="J28" s="40">
        <f t="shared" si="1"/>
        <v>0</v>
      </c>
      <c r="K28" s="40">
        <f t="shared" si="2"/>
        <v>0</v>
      </c>
      <c r="L28" s="41"/>
    </row>
    <row r="29" spans="2:12" ht="19.8">
      <c r="B29" s="63"/>
      <c r="C29" s="6" t="s">
        <v>174</v>
      </c>
      <c r="D29" s="23" t="s">
        <v>175</v>
      </c>
      <c r="E29" s="40"/>
      <c r="F29" s="40">
        <f t="shared" si="3"/>
        <v>0</v>
      </c>
      <c r="G29" s="40"/>
      <c r="H29" s="40">
        <f t="shared" si="0"/>
        <v>0</v>
      </c>
      <c r="I29" s="40"/>
      <c r="J29" s="40">
        <f t="shared" si="1"/>
        <v>0</v>
      </c>
      <c r="K29" s="40">
        <f t="shared" si="2"/>
        <v>0</v>
      </c>
      <c r="L29" s="41"/>
    </row>
    <row r="30" spans="2:12" ht="19.8">
      <c r="B30" s="63"/>
      <c r="C30" s="2" t="s">
        <v>176</v>
      </c>
      <c r="D30" s="16" t="s">
        <v>177</v>
      </c>
      <c r="E30" s="40"/>
      <c r="F30" s="40">
        <f t="shared" si="3"/>
        <v>0</v>
      </c>
      <c r="G30" s="40"/>
      <c r="H30" s="40">
        <f t="shared" si="0"/>
        <v>0</v>
      </c>
      <c r="I30" s="40"/>
      <c r="J30" s="40">
        <f t="shared" si="1"/>
        <v>0</v>
      </c>
      <c r="K30" s="40">
        <f t="shared" si="2"/>
        <v>0</v>
      </c>
      <c r="L30" s="41"/>
    </row>
    <row r="31" spans="2:12" ht="19.8">
      <c r="B31" s="63"/>
      <c r="C31" s="64" t="s">
        <v>178</v>
      </c>
      <c r="D31" s="65" t="s">
        <v>193</v>
      </c>
      <c r="E31" s="40"/>
      <c r="F31" s="40">
        <f t="shared" si="3"/>
        <v>0</v>
      </c>
      <c r="G31" s="40"/>
      <c r="H31" s="40">
        <f t="shared" si="0"/>
        <v>0</v>
      </c>
      <c r="I31" s="40"/>
      <c r="J31" s="40">
        <f t="shared" si="1"/>
        <v>0</v>
      </c>
      <c r="K31" s="40">
        <f t="shared" si="2"/>
        <v>0</v>
      </c>
      <c r="L31" s="41"/>
    </row>
    <row r="32" spans="2:12" ht="20.399999999999999" thickBot="1">
      <c r="B32" s="24"/>
      <c r="C32" s="25" t="s">
        <v>132</v>
      </c>
      <c r="D32" s="26" t="s">
        <v>133</v>
      </c>
      <c r="E32" s="48"/>
      <c r="F32" s="48">
        <f t="shared" si="3"/>
        <v>0</v>
      </c>
      <c r="G32" s="48"/>
      <c r="H32" s="48">
        <f t="shared" si="0"/>
        <v>0</v>
      </c>
      <c r="I32" s="48"/>
      <c r="J32" s="48">
        <f t="shared" si="1"/>
        <v>0</v>
      </c>
      <c r="K32" s="48">
        <f t="shared" si="2"/>
        <v>0</v>
      </c>
      <c r="L32" s="49"/>
    </row>
    <row r="33" ht="16.8" thickTop="1"/>
  </sheetData>
  <mergeCells count="4">
    <mergeCell ref="G2:H2"/>
    <mergeCell ref="K2:L2"/>
    <mergeCell ref="M2:N2"/>
    <mergeCell ref="B1:L1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D369C-8BBC-4EDA-81E8-DAE511F97660}">
  <dimension ref="B1:S23"/>
  <sheetViews>
    <sheetView topLeftCell="C1" workbookViewId="0">
      <selection activeCell="K18" sqref="K18"/>
    </sheetView>
  </sheetViews>
  <sheetFormatPr defaultRowHeight="16.2"/>
  <cols>
    <col min="1" max="1" width="1.6640625" customWidth="1"/>
    <col min="4" max="4" width="11.33203125" bestFit="1" customWidth="1"/>
    <col min="17" max="17" width="20.88671875" customWidth="1"/>
  </cols>
  <sheetData>
    <row r="1" spans="2:19" ht="32.4" thickBot="1">
      <c r="B1" s="110" t="s">
        <v>7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2"/>
      <c r="R1" s="54"/>
      <c r="S1" s="54"/>
    </row>
    <row r="2" spans="2:19" ht="16.8" thickBot="1">
      <c r="P2" s="121" t="s">
        <v>198</v>
      </c>
      <c r="Q2" s="121"/>
    </row>
    <row r="3" spans="2:19" ht="50.25" customHeight="1" thickTop="1">
      <c r="B3" s="30" t="s">
        <v>0</v>
      </c>
      <c r="C3" s="31" t="s">
        <v>1</v>
      </c>
      <c r="D3" s="31" t="s">
        <v>2</v>
      </c>
      <c r="E3" s="98" t="s">
        <v>191</v>
      </c>
      <c r="F3" s="98" t="s">
        <v>181</v>
      </c>
      <c r="G3" s="99" t="s">
        <v>188</v>
      </c>
      <c r="H3" s="100" t="s">
        <v>182</v>
      </c>
      <c r="I3" s="101" t="s">
        <v>189</v>
      </c>
      <c r="J3" s="102" t="s">
        <v>184</v>
      </c>
      <c r="K3" s="103" t="s">
        <v>190</v>
      </c>
      <c r="L3" s="103" t="s">
        <v>185</v>
      </c>
      <c r="M3" s="31"/>
      <c r="N3" s="86" t="s">
        <v>81</v>
      </c>
      <c r="O3" s="87" t="s">
        <v>6</v>
      </c>
    </row>
    <row r="4" spans="2:19" ht="19.8">
      <c r="B4" s="14" t="s">
        <v>65</v>
      </c>
      <c r="C4" s="52" t="s">
        <v>134</v>
      </c>
      <c r="D4" s="4" t="s">
        <v>135</v>
      </c>
      <c r="E4" s="4">
        <v>5</v>
      </c>
      <c r="F4" s="4">
        <f>E4*100</f>
        <v>500</v>
      </c>
      <c r="G4" s="4">
        <v>1</v>
      </c>
      <c r="H4" s="40">
        <f>G4*125</f>
        <v>125</v>
      </c>
      <c r="I4" s="40">
        <v>2</v>
      </c>
      <c r="J4" s="40">
        <f>I4*150</f>
        <v>300</v>
      </c>
      <c r="K4" s="40">
        <v>1</v>
      </c>
      <c r="L4" s="40">
        <f>K4*150</f>
        <v>150</v>
      </c>
      <c r="M4" s="40">
        <v>300</v>
      </c>
      <c r="N4" s="40">
        <f>F4+H4+J4+L4+M4</f>
        <v>1375</v>
      </c>
      <c r="O4" s="41"/>
    </row>
    <row r="5" spans="2:19" ht="46.8">
      <c r="B5" s="10"/>
      <c r="C5" s="52" t="s">
        <v>136</v>
      </c>
      <c r="D5" s="16" t="s">
        <v>137</v>
      </c>
      <c r="E5" s="4">
        <v>0</v>
      </c>
      <c r="F5" s="4">
        <f t="shared" ref="F5:F22" si="0">E5*100</f>
        <v>0</v>
      </c>
      <c r="G5" s="4">
        <v>1</v>
      </c>
      <c r="H5" s="40">
        <f t="shared" ref="H5:H22" si="1">G5*125</f>
        <v>125</v>
      </c>
      <c r="I5" s="40">
        <v>0</v>
      </c>
      <c r="J5" s="40">
        <f t="shared" ref="J5:J22" si="2">I5*150</f>
        <v>0</v>
      </c>
      <c r="K5" s="40">
        <v>2</v>
      </c>
      <c r="L5" s="40">
        <f t="shared" ref="L5:L22" si="3">K5*150</f>
        <v>300</v>
      </c>
      <c r="M5" s="40">
        <v>0</v>
      </c>
      <c r="N5" s="40">
        <f t="shared" ref="N5:N22" si="4">F5+H5+J5+L5+M5</f>
        <v>425</v>
      </c>
      <c r="O5" s="56" t="s">
        <v>173</v>
      </c>
    </row>
    <row r="6" spans="2:19" ht="19.8">
      <c r="B6" s="10"/>
      <c r="C6" s="52" t="s">
        <v>138</v>
      </c>
      <c r="D6" s="16" t="s">
        <v>139</v>
      </c>
      <c r="E6" s="4">
        <v>10</v>
      </c>
      <c r="F6" s="4">
        <f t="shared" si="0"/>
        <v>1000</v>
      </c>
      <c r="G6" s="4">
        <v>0</v>
      </c>
      <c r="H6" s="40">
        <f t="shared" si="1"/>
        <v>0</v>
      </c>
      <c r="I6" s="40">
        <v>0</v>
      </c>
      <c r="J6" s="40">
        <f t="shared" si="2"/>
        <v>0</v>
      </c>
      <c r="K6" s="40">
        <v>0</v>
      </c>
      <c r="L6" s="40">
        <f t="shared" si="3"/>
        <v>0</v>
      </c>
      <c r="M6" s="40">
        <v>300</v>
      </c>
      <c r="N6" s="40">
        <f t="shared" si="4"/>
        <v>1300</v>
      </c>
      <c r="O6" s="41"/>
    </row>
    <row r="7" spans="2:19" ht="19.8">
      <c r="B7" s="10"/>
      <c r="C7" s="52" t="s">
        <v>140</v>
      </c>
      <c r="D7" s="16" t="s">
        <v>141</v>
      </c>
      <c r="E7" s="4">
        <v>8</v>
      </c>
      <c r="F7" s="4">
        <f t="shared" si="0"/>
        <v>800</v>
      </c>
      <c r="G7" s="4">
        <v>1</v>
      </c>
      <c r="H7" s="40">
        <f t="shared" si="1"/>
        <v>125</v>
      </c>
      <c r="I7" s="40">
        <v>0</v>
      </c>
      <c r="J7" s="40">
        <f t="shared" si="2"/>
        <v>0</v>
      </c>
      <c r="K7" s="40">
        <v>2</v>
      </c>
      <c r="L7" s="40">
        <f t="shared" si="3"/>
        <v>300</v>
      </c>
      <c r="M7" s="40">
        <v>300</v>
      </c>
      <c r="N7" s="40">
        <f t="shared" si="4"/>
        <v>1525</v>
      </c>
      <c r="O7" s="41"/>
    </row>
    <row r="8" spans="2:19" ht="19.8">
      <c r="B8" s="10"/>
      <c r="C8" s="52" t="s">
        <v>142</v>
      </c>
      <c r="D8" s="16" t="s">
        <v>143</v>
      </c>
      <c r="E8" s="4">
        <v>7</v>
      </c>
      <c r="F8" s="4">
        <f t="shared" si="0"/>
        <v>700</v>
      </c>
      <c r="G8" s="4">
        <v>0</v>
      </c>
      <c r="H8" s="40">
        <f t="shared" si="1"/>
        <v>0</v>
      </c>
      <c r="I8" s="40">
        <v>1</v>
      </c>
      <c r="J8" s="40">
        <f t="shared" si="2"/>
        <v>150</v>
      </c>
      <c r="K8" s="40">
        <v>1</v>
      </c>
      <c r="L8" s="40">
        <f t="shared" si="3"/>
        <v>150</v>
      </c>
      <c r="M8" s="40">
        <v>300</v>
      </c>
      <c r="N8" s="40">
        <f t="shared" si="4"/>
        <v>1300</v>
      </c>
      <c r="O8" s="41"/>
    </row>
    <row r="9" spans="2:19" ht="19.8">
      <c r="B9" s="10"/>
      <c r="C9" s="52" t="s">
        <v>144</v>
      </c>
      <c r="D9" s="16" t="s">
        <v>145</v>
      </c>
      <c r="E9" s="4">
        <v>9</v>
      </c>
      <c r="F9" s="4">
        <f t="shared" si="0"/>
        <v>900</v>
      </c>
      <c r="G9" s="4">
        <v>0</v>
      </c>
      <c r="H9" s="40">
        <f t="shared" si="1"/>
        <v>0</v>
      </c>
      <c r="I9" s="40">
        <v>0</v>
      </c>
      <c r="J9" s="40">
        <f t="shared" si="2"/>
        <v>0</v>
      </c>
      <c r="K9" s="40">
        <v>0</v>
      </c>
      <c r="L9" s="40">
        <f t="shared" si="3"/>
        <v>0</v>
      </c>
      <c r="M9" s="40">
        <v>300</v>
      </c>
      <c r="N9" s="40">
        <f t="shared" si="4"/>
        <v>1200</v>
      </c>
      <c r="O9" s="41"/>
    </row>
    <row r="10" spans="2:19" ht="19.8">
      <c r="B10" s="10"/>
      <c r="C10" s="52" t="s">
        <v>146</v>
      </c>
      <c r="D10" s="16" t="s">
        <v>147</v>
      </c>
      <c r="E10" s="4">
        <v>9</v>
      </c>
      <c r="F10" s="4">
        <f t="shared" si="0"/>
        <v>900</v>
      </c>
      <c r="G10" s="4">
        <v>0</v>
      </c>
      <c r="H10" s="40">
        <f t="shared" si="1"/>
        <v>0</v>
      </c>
      <c r="I10" s="40">
        <v>0</v>
      </c>
      <c r="J10" s="40">
        <f t="shared" si="2"/>
        <v>0</v>
      </c>
      <c r="K10" s="40">
        <v>0</v>
      </c>
      <c r="L10" s="40">
        <f t="shared" si="3"/>
        <v>0</v>
      </c>
      <c r="M10" s="40">
        <v>300</v>
      </c>
      <c r="N10" s="40">
        <f t="shared" si="4"/>
        <v>1200</v>
      </c>
      <c r="O10" s="41"/>
    </row>
    <row r="11" spans="2:19" ht="19.8">
      <c r="B11" s="10"/>
      <c r="C11" s="52" t="s">
        <v>148</v>
      </c>
      <c r="D11" s="16" t="s">
        <v>149</v>
      </c>
      <c r="E11" s="4">
        <v>6</v>
      </c>
      <c r="F11" s="4">
        <f t="shared" si="0"/>
        <v>600</v>
      </c>
      <c r="G11" s="4">
        <v>0</v>
      </c>
      <c r="H11" s="40">
        <f t="shared" si="1"/>
        <v>0</v>
      </c>
      <c r="I11" s="40">
        <v>1</v>
      </c>
      <c r="J11" s="40">
        <f t="shared" si="2"/>
        <v>150</v>
      </c>
      <c r="K11" s="40">
        <v>2</v>
      </c>
      <c r="L11" s="40">
        <f t="shared" si="3"/>
        <v>300</v>
      </c>
      <c r="M11" s="40">
        <v>300</v>
      </c>
      <c r="N11" s="40">
        <f t="shared" si="4"/>
        <v>1350</v>
      </c>
      <c r="O11" s="41"/>
    </row>
    <row r="12" spans="2:19" ht="19.8">
      <c r="B12" s="10"/>
      <c r="C12" s="52" t="s">
        <v>150</v>
      </c>
      <c r="D12" s="4" t="s">
        <v>151</v>
      </c>
      <c r="E12" s="4">
        <v>7</v>
      </c>
      <c r="F12" s="4">
        <f t="shared" si="0"/>
        <v>700</v>
      </c>
      <c r="G12" s="4">
        <v>0</v>
      </c>
      <c r="H12" s="40">
        <f t="shared" si="1"/>
        <v>0</v>
      </c>
      <c r="I12" s="40">
        <v>0</v>
      </c>
      <c r="J12" s="40">
        <f t="shared" si="2"/>
        <v>0</v>
      </c>
      <c r="K12" s="40">
        <v>2</v>
      </c>
      <c r="L12" s="40">
        <f t="shared" si="3"/>
        <v>300</v>
      </c>
      <c r="M12" s="40">
        <v>300</v>
      </c>
      <c r="N12" s="40">
        <f t="shared" si="4"/>
        <v>1300</v>
      </c>
      <c r="O12" s="41"/>
    </row>
    <row r="13" spans="2:19" ht="19.8">
      <c r="B13" s="10"/>
      <c r="C13" s="52" t="s">
        <v>152</v>
      </c>
      <c r="D13" s="16" t="s">
        <v>153</v>
      </c>
      <c r="E13" s="4">
        <v>9</v>
      </c>
      <c r="F13" s="4">
        <f t="shared" si="0"/>
        <v>900</v>
      </c>
      <c r="G13" s="4">
        <v>0</v>
      </c>
      <c r="H13" s="40">
        <f t="shared" si="1"/>
        <v>0</v>
      </c>
      <c r="I13" s="40">
        <v>0</v>
      </c>
      <c r="J13" s="40">
        <f t="shared" si="2"/>
        <v>0</v>
      </c>
      <c r="K13" s="40">
        <v>0</v>
      </c>
      <c r="L13" s="40">
        <f t="shared" si="3"/>
        <v>0</v>
      </c>
      <c r="M13" s="40">
        <v>300</v>
      </c>
      <c r="N13" s="40">
        <f t="shared" si="4"/>
        <v>1200</v>
      </c>
      <c r="O13" s="41"/>
    </row>
    <row r="14" spans="2:19" ht="19.8">
      <c r="B14" s="27"/>
      <c r="C14" s="52" t="s">
        <v>154</v>
      </c>
      <c r="D14" s="16" t="s">
        <v>155</v>
      </c>
      <c r="E14" s="4">
        <v>9</v>
      </c>
      <c r="F14" s="4">
        <f t="shared" si="0"/>
        <v>900</v>
      </c>
      <c r="G14" s="4">
        <v>0</v>
      </c>
      <c r="H14" s="40">
        <f t="shared" si="1"/>
        <v>0</v>
      </c>
      <c r="I14" s="40">
        <v>0</v>
      </c>
      <c r="J14" s="40">
        <f t="shared" si="2"/>
        <v>0</v>
      </c>
      <c r="K14" s="40">
        <v>1</v>
      </c>
      <c r="L14" s="40">
        <f t="shared" si="3"/>
        <v>150</v>
      </c>
      <c r="M14" s="40">
        <v>300</v>
      </c>
      <c r="N14" s="40">
        <f t="shared" si="4"/>
        <v>1350</v>
      </c>
      <c r="O14" s="41"/>
    </row>
    <row r="15" spans="2:19" ht="46.8">
      <c r="B15" s="27"/>
      <c r="C15" s="52" t="s">
        <v>156</v>
      </c>
      <c r="D15" s="16" t="s">
        <v>157</v>
      </c>
      <c r="E15" s="4">
        <v>0</v>
      </c>
      <c r="F15" s="4">
        <f t="shared" si="0"/>
        <v>0</v>
      </c>
      <c r="G15" s="4">
        <v>0</v>
      </c>
      <c r="H15" s="40">
        <f t="shared" si="1"/>
        <v>0</v>
      </c>
      <c r="I15" s="40">
        <v>0</v>
      </c>
      <c r="J15" s="40">
        <f t="shared" si="2"/>
        <v>0</v>
      </c>
      <c r="K15" s="40">
        <v>0</v>
      </c>
      <c r="L15" s="40">
        <f t="shared" si="3"/>
        <v>0</v>
      </c>
      <c r="M15" s="40">
        <v>0</v>
      </c>
      <c r="N15" s="40">
        <f t="shared" si="4"/>
        <v>0</v>
      </c>
      <c r="O15" s="56" t="s">
        <v>173</v>
      </c>
    </row>
    <row r="16" spans="2:19" ht="19.8">
      <c r="B16" s="27"/>
      <c r="C16" s="52" t="s">
        <v>158</v>
      </c>
      <c r="D16" s="16" t="s">
        <v>159</v>
      </c>
      <c r="E16" s="4">
        <v>12</v>
      </c>
      <c r="F16" s="4">
        <f t="shared" si="0"/>
        <v>1200</v>
      </c>
      <c r="G16" s="4">
        <v>0</v>
      </c>
      <c r="H16" s="40">
        <f t="shared" si="1"/>
        <v>0</v>
      </c>
      <c r="I16" s="40">
        <v>0</v>
      </c>
      <c r="J16" s="40">
        <f t="shared" si="2"/>
        <v>0</v>
      </c>
      <c r="K16" s="40">
        <v>0</v>
      </c>
      <c r="L16" s="40">
        <f t="shared" si="3"/>
        <v>0</v>
      </c>
      <c r="M16" s="40">
        <v>300</v>
      </c>
      <c r="N16" s="40">
        <f t="shared" si="4"/>
        <v>1500</v>
      </c>
      <c r="O16" s="41"/>
    </row>
    <row r="17" spans="2:15" ht="46.8">
      <c r="B17" s="27"/>
      <c r="C17" s="52" t="s">
        <v>160</v>
      </c>
      <c r="D17" s="16" t="s">
        <v>161</v>
      </c>
      <c r="E17" s="4">
        <v>0</v>
      </c>
      <c r="F17" s="4">
        <f t="shared" si="0"/>
        <v>0</v>
      </c>
      <c r="G17" s="4">
        <v>0</v>
      </c>
      <c r="H17" s="40">
        <f t="shared" si="1"/>
        <v>0</v>
      </c>
      <c r="I17" s="40">
        <v>0</v>
      </c>
      <c r="J17" s="40">
        <f t="shared" si="2"/>
        <v>0</v>
      </c>
      <c r="K17" s="40">
        <v>3</v>
      </c>
      <c r="L17" s="40">
        <f t="shared" si="3"/>
        <v>450</v>
      </c>
      <c r="M17" s="40">
        <v>0</v>
      </c>
      <c r="N17" s="40">
        <f t="shared" si="4"/>
        <v>450</v>
      </c>
      <c r="O17" s="56" t="s">
        <v>173</v>
      </c>
    </row>
    <row r="18" spans="2:15" ht="19.8">
      <c r="B18" s="28"/>
      <c r="C18" s="60" t="s">
        <v>162</v>
      </c>
      <c r="D18" s="4" t="s">
        <v>163</v>
      </c>
      <c r="E18" s="4">
        <v>10</v>
      </c>
      <c r="F18" s="4">
        <f t="shared" si="0"/>
        <v>1000</v>
      </c>
      <c r="G18" s="4">
        <v>0</v>
      </c>
      <c r="H18" s="40">
        <f t="shared" si="1"/>
        <v>0</v>
      </c>
      <c r="I18" s="40">
        <v>0</v>
      </c>
      <c r="J18" s="40">
        <f t="shared" si="2"/>
        <v>0</v>
      </c>
      <c r="K18" s="40">
        <v>0</v>
      </c>
      <c r="L18" s="40">
        <f t="shared" si="3"/>
        <v>0</v>
      </c>
      <c r="M18" s="40">
        <v>300</v>
      </c>
      <c r="N18" s="40">
        <f t="shared" si="4"/>
        <v>1300</v>
      </c>
      <c r="O18" s="41"/>
    </row>
    <row r="19" spans="2:15" ht="19.8">
      <c r="B19" s="28"/>
      <c r="C19" s="60" t="s">
        <v>199</v>
      </c>
      <c r="D19" s="4" t="s">
        <v>164</v>
      </c>
      <c r="E19" s="4">
        <v>7</v>
      </c>
      <c r="F19" s="4">
        <f t="shared" si="0"/>
        <v>700</v>
      </c>
      <c r="G19" s="4">
        <v>1</v>
      </c>
      <c r="H19" s="40">
        <f t="shared" si="1"/>
        <v>125</v>
      </c>
      <c r="I19" s="40">
        <v>0</v>
      </c>
      <c r="J19" s="40">
        <f t="shared" si="2"/>
        <v>0</v>
      </c>
      <c r="K19" s="40">
        <v>2</v>
      </c>
      <c r="L19" s="40">
        <f t="shared" si="3"/>
        <v>300</v>
      </c>
      <c r="M19" s="40">
        <v>300</v>
      </c>
      <c r="N19" s="40">
        <f t="shared" si="4"/>
        <v>1425</v>
      </c>
      <c r="O19" s="41"/>
    </row>
    <row r="20" spans="2:15" ht="19.8">
      <c r="B20" s="28"/>
      <c r="C20" s="60" t="s">
        <v>165</v>
      </c>
      <c r="D20" s="4" t="s">
        <v>166</v>
      </c>
      <c r="E20" s="4">
        <v>9</v>
      </c>
      <c r="F20" s="4">
        <f t="shared" si="0"/>
        <v>900</v>
      </c>
      <c r="G20" s="4">
        <v>0</v>
      </c>
      <c r="H20" s="40">
        <f t="shared" si="1"/>
        <v>0</v>
      </c>
      <c r="I20" s="40">
        <v>0</v>
      </c>
      <c r="J20" s="40">
        <f t="shared" si="2"/>
        <v>0</v>
      </c>
      <c r="K20" s="40">
        <v>1</v>
      </c>
      <c r="L20" s="40">
        <f t="shared" si="3"/>
        <v>150</v>
      </c>
      <c r="M20" s="40">
        <v>300</v>
      </c>
      <c r="N20" s="40">
        <f t="shared" si="4"/>
        <v>1350</v>
      </c>
      <c r="O20" s="41"/>
    </row>
    <row r="21" spans="2:15" ht="19.8">
      <c r="B21" s="28"/>
      <c r="C21" s="60" t="s">
        <v>167</v>
      </c>
      <c r="D21" s="4" t="s">
        <v>168</v>
      </c>
      <c r="E21" s="4">
        <v>8</v>
      </c>
      <c r="F21" s="4">
        <f t="shared" si="0"/>
        <v>800</v>
      </c>
      <c r="G21" s="4">
        <v>0</v>
      </c>
      <c r="H21" s="40">
        <f t="shared" si="1"/>
        <v>0</v>
      </c>
      <c r="I21" s="40">
        <v>0</v>
      </c>
      <c r="J21" s="40">
        <f t="shared" si="2"/>
        <v>0</v>
      </c>
      <c r="K21" s="40">
        <v>1</v>
      </c>
      <c r="L21" s="40">
        <f t="shared" si="3"/>
        <v>150</v>
      </c>
      <c r="M21" s="40">
        <v>300</v>
      </c>
      <c r="N21" s="40">
        <f t="shared" si="4"/>
        <v>1250</v>
      </c>
      <c r="O21" s="41"/>
    </row>
    <row r="22" spans="2:15" ht="20.399999999999999" thickBot="1">
      <c r="B22" s="53"/>
      <c r="C22" s="61" t="s">
        <v>169</v>
      </c>
      <c r="D22" s="29" t="s">
        <v>170</v>
      </c>
      <c r="E22" s="29">
        <v>6</v>
      </c>
      <c r="F22" s="29">
        <f t="shared" si="0"/>
        <v>600</v>
      </c>
      <c r="G22" s="29">
        <v>1</v>
      </c>
      <c r="H22" s="48">
        <f t="shared" si="1"/>
        <v>125</v>
      </c>
      <c r="I22" s="48">
        <v>1</v>
      </c>
      <c r="J22" s="48">
        <f t="shared" si="2"/>
        <v>150</v>
      </c>
      <c r="K22" s="48">
        <v>1</v>
      </c>
      <c r="L22" s="48">
        <f t="shared" si="3"/>
        <v>150</v>
      </c>
      <c r="M22" s="48">
        <v>300</v>
      </c>
      <c r="N22" s="48">
        <f t="shared" si="4"/>
        <v>1325</v>
      </c>
      <c r="O22" s="49"/>
    </row>
    <row r="23" spans="2:15" ht="16.8" thickTop="1"/>
  </sheetData>
  <mergeCells count="2">
    <mergeCell ref="P2:Q2"/>
    <mergeCell ref="B1:Q1"/>
  </mergeCells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115.7皮革伙食台灣</vt:lpstr>
      <vt:lpstr>115.7皮革假日加班伙食台灣 </vt:lpstr>
      <vt:lpstr>115.7皮革伙食外籍</vt:lpstr>
      <vt:lpstr>115.7紡織伙食台灣</vt:lpstr>
      <vt:lpstr>115.7紡織假日加班伙食台灣</vt:lpstr>
      <vt:lpstr>115.7紡織伙食外籍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吟珊 吳</dc:creator>
  <cp:lastModifiedBy>許建璋</cp:lastModifiedBy>
  <dcterms:created xsi:type="dcterms:W3CDTF">2026-04-28T05:53:18Z</dcterms:created>
  <dcterms:modified xsi:type="dcterms:W3CDTF">2026-08-07T01:04:56Z</dcterms:modified>
</cp:coreProperties>
</file>